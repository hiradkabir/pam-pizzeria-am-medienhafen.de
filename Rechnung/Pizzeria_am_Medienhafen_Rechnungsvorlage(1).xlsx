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ab5de41ad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nung" sheetId="1" r:id="R7083c5353bf7495c"/>
    <x:sheet xmlns:r="http://schemas.openxmlformats.org/officeDocument/2006/relationships" name="Stammdaten" sheetId="2" r:id="R32b22235241f44e0"/>
    <x:sheet xmlns:r="http://schemas.openxmlformats.org/officeDocument/2006/relationships" name="Kunden" sheetId="3" r:id="R967a73f9e10d49ca"/>
    <x:sheet xmlns:r="http://schemas.openxmlformats.org/officeDocument/2006/relationships" name="Hinweise" sheetId="4" r:id="Rfe7987e0f333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dd.mm.yyyy"/>
    <x:numFmt numFmtId="202" formatCode="0.00"/>
    <x:numFmt numFmtId="203" formatCode="#,##0.00 [$€-de-DE]"/>
    <x:numFmt numFmtId="204" formatCode="@"/>
  </x:numFmts>
  <x:fonts count="21">
    <x:font>
      <x:sz val="11"/>
      <x:name val="Carlito"/>
    </x:font>
    <x:font>
      <x:b/>
      <x:sz val="18"/>
      <x:color rgb="FFFFFFFF"/>
      <x:name val="Georgia"/>
    </x:font>
    <x:font>
      <x:b/>
      <x:sz val="11"/>
      <x:color rgb="FFFFFFFF"/>
      <x:name val="Carlito"/>
    </x:font>
    <x:font>
      <x:b/>
      <x:sz val="11"/>
      <x:color rgb="FF1B1B1B"/>
      <x:name val="Carlito"/>
    </x:font>
    <x:font>
      <x:sz val="10"/>
      <x:color rgb="FF1B1B1B"/>
      <x:name val="Aptos"/>
    </x:font>
    <x:font>
      <x:b/>
      <x:sz val="10"/>
      <x:color rgb="FF9C1C12"/>
      <x:name val="Aptos"/>
    </x:font>
    <x:font>
      <x:b/>
      <x:sz val="11"/>
      <x:color rgb="FF9C1C12"/>
      <x:name val="Carlito"/>
    </x:font>
    <x:font>
      <x:b/>
      <x:sz val="10"/>
      <x:color rgb="FF1B1B1B"/>
      <x:name val="Aptos"/>
    </x:font>
    <x:font>
      <x:b/>
      <x:sz val="22"/>
      <x:color rgb="FF1B1B1B"/>
      <x:name val="Georgia"/>
    </x:font>
    <x:font>
      <x:b/>
      <x:sz val="23"/>
      <x:color rgb="FFFFFFFF"/>
      <x:name val="Georgia"/>
    </x:font>
    <x:font>
      <x:i/>
      <x:sz val="10"/>
      <x:color rgb="FF9E4433"/>
      <x:name val="Aptos"/>
    </x:font>
    <x:font>
      <x:sz val="8"/>
      <x:color rgb="FF8A8279"/>
      <x:name val="Aptos"/>
    </x:font>
    <x:font>
      <x:b/>
      <x:sz val="12"/>
      <x:color rgb="FF1B1B1B"/>
      <x:name val="Georgia"/>
    </x:font>
    <x:font>
      <x:b/>
      <x:sz val="11"/>
      <x:color rgb="FF1B1B1B"/>
      <x:name val="Aptos"/>
    </x:font>
    <x:font>
      <x:b/>
      <x:sz val="10"/>
      <x:color rgb="FFFFFFFF"/>
      <x:name val="Aptos"/>
    </x:font>
    <x:font>
      <x:sz val="9"/>
      <x:color rgb="FF1B1B1B"/>
      <x:name val="Aptos"/>
    </x:font>
    <x:font>
      <x:b/>
      <x:sz val="12"/>
      <x:color rgb="FFFFFFFF"/>
      <x:name val="Aptos"/>
    </x:font>
    <x:font>
      <x:b/>
      <x:sz val="13"/>
      <x:color rgb="FFFFFFFF"/>
      <x:name val="Aptos"/>
    </x:font>
    <x:font>
      <x:sz val="9"/>
      <x:color rgb="FFFFFFFF"/>
      <x:name val="Aptos"/>
    </x:font>
    <x:font>
      <x:b/>
      <x:sz val="11"/>
      <x:name val="Carlito"/>
    </x:font>
    <x:font>
      <x:sz val="10"/>
      <x:color rgb="FF1B1B1B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B1B1B"/>
      </x:patternFill>
    </x:fill>
    <x:fill>
      <x:patternFill patternType="solid">
        <x:fgColor rgb="FF9E4433"/>
      </x:patternFill>
    </x:fill>
    <x:fill>
      <x:patternFill patternType="solid">
        <x:fgColor rgb="FFFFF4D6"/>
      </x:patternFill>
    </x:fill>
    <x:fill>
      <x:patternFill patternType="solid">
        <x:fgColor rgb="FFFDE8E5"/>
      </x:patternFill>
    </x:fill>
    <x:fill>
      <x:patternFill patternType="solid">
        <x:fgColor rgb="FFF2EEE8"/>
      </x:patternFill>
    </x:fill>
    <x:fill>
      <x:patternFill patternType="solid">
        <x:fgColor rgb="FFFAF7F1"/>
      </x:patternFill>
    </x:fill>
    <x:fill>
      <x:patternFill patternType="solid">
        <x:fgColor rgb="FFE7E0D6"/>
      </x:patternFill>
    </x:fill>
    <x:fill>
      <x:patternFill patternType="solid">
        <x:fgColor rgb="FFEAF4EA"/>
      </x:patternFill>
    </x:fill>
    <x:fill>
      <x:patternFill patternType="solid">
        <x:fgColor rgb="FFFDE8E5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2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20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4" fillId="8" borderId="0" xfId="0" applyNumberFormat="1" applyFont="1" applyFill="1" applyBorder="1"/>
    <x:xf numFmtId="0" fontId="7" fillId="8" borderId="0" xfId="0" applyNumberFormat="1" applyFont="1" applyFill="1" applyBorder="1"/>
    <x:xf numFmtId="0" fontId="4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right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right"/>
    </x:xf>
    <x:xf numFmtId="201" fontId="7" fillId="4" borderId="0" xfId="0" applyNumberFormat="1" applyFont="1" applyFill="1" applyBorder="1" applyAlignment="1">
      <x:alignment horizontal="right"/>
    </x:xf>
    <x:xf numFmtId="201" fontId="7" fillId="4" borderId="1" xfId="0" applyNumberFormat="1" applyFont="1" applyFill="1" applyBorder="1" applyAlignment="1">
      <x:alignment horizontal="right"/>
    </x:xf>
    <x:xf numFmtId="201" fontId="7" fillId="6" borderId="0" xfId="0" applyNumberFormat="1" applyFont="1" applyFill="1" applyBorder="1" applyAlignment="1">
      <x:alignment horizontal="right"/>
    </x:xf>
    <x:xf numFmtId="201" fontId="7" fillId="6" borderId="1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3" fillId="6" borderId="1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center" wrapText="1"/>
    </x:xf>
    <x:xf numFmtId="0" fontId="14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right"/>
    </x:xf>
    <x:xf numFmtId="0" fontId="4" fillId="6" borderId="0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 applyAlignment="1">
      <x:alignment horizontal="right"/>
    </x:xf>
    <x:xf numFmtId="0" fontId="4" fillId="6" borderId="1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202" fontId="4" fillId="4" borderId="0" xfId="0" applyNumberFormat="1" applyFont="1" applyFill="1" applyBorder="1" applyAlignment="1">
      <x:alignment horizontal="right"/>
    </x:xf>
    <x:xf numFmtId="202" fontId="4" fillId="4" borderId="1" xfId="0" applyNumberFormat="1" applyFont="1" applyFill="1" applyBorder="1" applyAlignment="1">
      <x:alignment horizontal="right"/>
    </x:xf>
    <x:xf numFmtId="203" fontId="4" fillId="4" borderId="0" xfId="0" applyNumberFormat="1" applyFont="1" applyFill="1" applyBorder="1" applyAlignment="1">
      <x:alignment horizontal="right"/>
    </x:xf>
    <x:xf numFmtId="203" fontId="4" fillId="4" borderId="1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200" fontId="4" fillId="4" borderId="1" xfId="0" applyNumberFormat="1" applyFont="1" applyFill="1" applyBorder="1" applyAlignment="1">
      <x:alignment horizontal="right"/>
    </x:xf>
    <x:xf numFmtId="203" fontId="4" fillId="6" borderId="0" xfId="0" applyNumberFormat="1" applyFont="1" applyFill="1" applyBorder="1" applyAlignment="1">
      <x:alignment horizontal="right"/>
    </x:xf>
    <x:xf numFmtId="203" fontId="4" fillId="6" borderId="1" xfId="0" applyNumberFormat="1" applyFont="1" applyFill="1" applyBorder="1" applyAlignment="1">
      <x:alignment horizontal="right"/>
    </x:xf>
    <x:xf numFmtId="0" fontId="4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/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right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right"/>
    </x:xf>
    <x:xf numFmtId="0" fontId="16" fillId="3" borderId="0" xfId="0" applyNumberFormat="1" applyFont="1" applyFill="1" applyBorder="1"/>
    <x:xf numFmtId="0" fontId="16" fillId="3" borderId="1" xfId="0" applyNumberFormat="1" applyFont="1" applyFill="1" applyBorder="1"/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right"/>
    </x:xf>
    <x:xf numFmtId="0" fontId="17" fillId="2" borderId="1" xfId="0" applyNumberFormat="1" applyFont="1" applyFill="1" applyBorder="1"/>
    <x:xf numFmtId="0" fontId="17" fillId="2" borderId="1" xfId="0" applyNumberFormat="1" applyFont="1" applyFill="1" applyBorder="1" applyAlignment="1">
      <x:alignment horizontal="right"/>
    </x:xf>
    <x:xf numFmtId="203" fontId="7" fillId="6" borderId="0" xfId="0" applyNumberFormat="1" applyFont="1" applyFill="1" applyBorder="1" applyAlignment="1">
      <x:alignment horizontal="right"/>
    </x:xf>
    <x:xf numFmtId="203" fontId="17" fillId="2" borderId="0" xfId="0" applyNumberFormat="1" applyFont="1" applyFill="1" applyBorder="1" applyAlignment="1">
      <x:alignment horizontal="right"/>
    </x:xf>
    <x:xf numFmtId="203" fontId="7" fillId="6" borderId="1" xfId="0" applyNumberFormat="1" applyFont="1" applyFill="1" applyBorder="1" applyAlignment="1">
      <x:alignment horizontal="right"/>
    </x:xf>
    <x:xf numFmtId="203" fontId="17" fillId="2" borderId="1" xfId="0" applyNumberFormat="1" applyFont="1" applyFill="1" applyBorder="1" applyAlignment="1">
      <x:alignment horizontal="right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1" fontId="7" fillId="6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3" fontId="4" fillId="4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203" fontId="4" fillId="6" borderId="0" xfId="0" applyNumberFormat="1" applyFont="1" applyFill="1" applyBorder="1" applyAlignment="1">
      <x:alignment horizontal="right" vertical="center"/>
    </x:xf>
    <x:xf numFmtId="203" fontId="7" fillId="6" borderId="0" xfId="0" applyNumberFormat="1" applyFont="1" applyFill="1" applyBorder="1" applyAlignment="1">
      <x:alignment horizontal="right" vertical="center"/>
    </x:xf>
    <x:xf numFmtId="0" fontId="16" fillId="3" borderId="0" xfId="0" applyNumberFormat="1" applyFont="1" applyFill="1" applyBorder="1" applyAlignment="1">
      <x:alignment vertical="center"/>
    </x:xf>
    <x:xf numFmtId="203" fontId="17" fillId="2" borderId="0" xfId="0" applyNumberFormat="1" applyFont="1" applyFill="1" applyBorder="1" applyAlignment="1">
      <x:alignment horizontal="right" vertical="center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0" fontId="11" fillId="7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right" vertical="center"/>
    </x:xf>
    <x:xf numFmtId="201" fontId="7" fillId="4" borderId="1" xfId="0" applyNumberFormat="1" applyFont="1" applyFill="1" applyBorder="1" applyAlignment="1">
      <x:alignment horizontal="right" vertical="center"/>
    </x:xf>
    <x:xf numFmtId="201" fontId="7" fillId="6" borderId="1" xfId="0" applyNumberFormat="1" applyFont="1" applyFill="1" applyBorder="1" applyAlignment="1">
      <x:alignment horizontal="right" vertical="center"/>
    </x:xf>
    <x:xf numFmtId="0" fontId="4" fillId="3" borderId="1" xfId="0" applyNumberFormat="1" applyFont="1" applyFill="1" applyBorder="1" applyAlignment="1">
      <x:alignment vertical="center"/>
    </x:xf>
    <x:xf numFmtId="0" fontId="12" fillId="7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202" fontId="4" fillId="4" borderId="1" xfId="0" applyNumberFormat="1" applyFont="1" applyFill="1" applyBorder="1" applyAlignment="1">
      <x:alignment horizontal="right" vertical="center"/>
    </x:xf>
    <x:xf numFmtId="0" fontId="4" fillId="4" borderId="1" xfId="0" applyNumberFormat="1" applyFont="1" applyFill="1" applyBorder="1" applyAlignment="1">
      <x:alignment horizontal="center" vertical="center"/>
    </x:xf>
    <x:xf numFmtId="203" fontId="4" fillId="4" borderId="1" xfId="0" applyNumberFormat="1" applyFont="1" applyFill="1" applyBorder="1" applyAlignment="1">
      <x:alignment horizontal="right" vertical="center"/>
    </x:xf>
    <x:xf numFmtId="200" fontId="4" fillId="4" borderId="1" xfId="0" applyNumberFormat="1" applyFont="1" applyFill="1" applyBorder="1" applyAlignment="1">
      <x:alignment horizontal="right" vertical="center"/>
    </x:xf>
    <x:xf numFmtId="203" fontId="4" fillId="6" borderId="1" xfId="0" applyNumberFormat="1" applyFont="1" applyFill="1" applyBorder="1" applyAlignment="1">
      <x:alignment horizontal="right" vertical="center"/>
    </x:xf>
    <x:xf numFmtId="203" fontId="7" fillId="6" borderId="1" xfId="0" applyNumberFormat="1" applyFont="1" applyFill="1" applyBorder="1" applyAlignment="1">
      <x:alignment horizontal="right" vertical="center"/>
    </x:xf>
    <x:xf numFmtId="0" fontId="16" fillId="3" borderId="1" xfId="0" applyNumberFormat="1" applyFont="1" applyFill="1" applyBorder="1" applyAlignment="1">
      <x:alignment vertical="center"/>
    </x:xf>
    <x:xf numFmtId="203" fontId="17" fillId="2" borderId="1" xfId="0" applyNumberFormat="1" applyFont="1" applyFill="1" applyBorder="1" applyAlignment="1">
      <x:alignment horizontal="right" vertical="center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horizontal="right" vertical="center"/>
    </x:xf>
    <x:xf numFmtId="204" fontId="7" fillId="4" borderId="1" xfId="0" applyNumberFormat="1" applyFont="1" applyFill="1" applyBorder="1" applyAlignment="1">
      <x:alignment horizontal="right" vertical="center"/>
    </x:xf>
    <x:xf numFmtId="204" fontId="7" fillId="6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32f5007c64fdf" /><Relationship Type="http://schemas.openxmlformats.org/officeDocument/2006/relationships/theme" Target="/xl/theme/theme1.xml" Id="R398ce39e676d4637" /><Relationship Type="http://schemas.openxmlformats.org/officeDocument/2006/relationships/sharedStrings" Target="/xl/sharedStrings.xml" Id="Rdf7b5cdde27149bc" /><Relationship Type="http://schemas.openxmlformats.org/officeDocument/2006/relationships/worksheet" Target="/xl/worksheets/sheet1.xml" Id="R7083c5353bf7495c" /><Relationship Type="http://schemas.openxmlformats.org/officeDocument/2006/relationships/worksheet" Target="/xl/worksheets/sheet2.xml" Id="R32b22235241f44e0" /><Relationship Type="http://schemas.openxmlformats.org/officeDocument/2006/relationships/worksheet" Target="/xl/worksheets/sheet3.xml" Id="R967a73f9e10d49ca" /><Relationship Type="http://schemas.openxmlformats.org/officeDocument/2006/relationships/worksheet" Target="/xl/worksheets/sheet4.xml" Id="Rfe7987e0f3334b54" /></Relationships>
</file>

<file path=xl/tables/table1.xml><?xml version="1.0" encoding="utf-8"?>
<x:table xmlns:x="http://schemas.openxmlformats.org/spreadsheetml/2006/main" id="1" name="KundenTabelle" displayName="KundenTabelle" ref="A1:H200" headerRowCount="1">
  <x:tableColumns count="8">
    <x:tableColumn id="1" name="Kundennr."/>
    <x:tableColumn id="2" name="Firma / Name"/>
    <x:tableColumn id="3" name="Ansprechpartner"/>
    <x:tableColumn id="4" name="Straße"/>
    <x:tableColumn id="5" name="PLZ"/>
    <x:tableColumn id="6" name="Ort"/>
    <x:tableColumn id="7" name="Land"/>
    <x:tableColumn id="8" name="E-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84dc76efdf46aa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7" hidden="0" customWidth="1"/>
    <x:col min="3" max="3" width="17" hidden="0" customWidth="1"/>
    <x:col min="4" max="4" width="9" hidden="0" customWidth="1"/>
    <x:col min="5" max="5" width="11" hidden="0" customWidth="1"/>
    <x:col min="6" max="6" width="16" hidden="0" customWidth="1"/>
    <x:col min="7" max="7" width="9" hidden="0" customWidth="1"/>
    <x:col min="8" max="8" width="15" hidden="0" customWidth="1"/>
    <x:col min="9" max="9" width="15" hidden="0" customWidth="1"/>
  </x:cols>
  <x:sheetData>
    <x:row r="1">
      <x:c r="A1" s="89" t="str">
        <x:f>Stammdaten!$B$4</x:f>
        <x:v>Pizzeria am Medienhafen</x:v>
      </x:c>
      <x:c r="B1" s="89"/>
      <x:c r="C1" s="89"/>
      <x:c r="D1" s="89"/>
      <x:c r="E1" s="196"/>
      <x:c r="F1" s="95" t="str">
        <x:v>RECHNUNG</x:v>
      </x:c>
      <x:c r="G1" s="95"/>
      <x:c r="H1" s="95"/>
      <x:c r="I1" s="95"/>
      <x:c r="Z1"/>
    </x:row>
    <x:row r="2">
      <x:c r="A2" s="89"/>
      <x:c r="B2" s="89"/>
      <x:c r="C2" s="89"/>
      <x:c r="D2" s="89"/>
      <x:c r="E2" s="196"/>
      <x:c r="F2" s="95"/>
      <x:c r="G2" s="95"/>
      <x:c r="H2" s="95"/>
      <x:c r="I2" s="95"/>
      <x:c r="Z2" t="n">
        <x:f>DATE(RIGHT(I5,4),MID(I5,4,2),LEFT(I5,2))</x:f>
        <x:v>46201</x:v>
      </x:c>
    </x:row>
    <x:row r="3">
      <x:c r="A3" s="197" t="str">
        <x:v>Authentisch Italienisch · Seit 1998</x:v>
      </x:c>
      <x:c r="B3" s="197"/>
      <x:c r="C3" s="197"/>
      <x:c r="D3" s="197"/>
      <x:c r="E3" s="196"/>
      <x:c r="F3" s="196"/>
      <x:c r="G3" s="196"/>
      <x:c r="H3" s="196"/>
      <x:c r="I3" s="196"/>
      <x:c r="Z3" t="n">
        <x:f>DATE(RIGHT(I6,4),MID(I6,4,2),LEFT(I6,2))</x:f>
        <x:v>46201</x:v>
      </x:c>
    </x:row>
    <x:row r="4">
      <x:c r="A4" s="198" t="str">
        <x:f>Stammdaten!$B$6&amp;", "&amp;Stammdaten!$B$7</x:f>
        <x:v>Wupperstraße 14, 40221 Düsseldorf</x:v>
      </x:c>
      <x:c r="B4" s="198"/>
      <x:c r="C4" s="198"/>
      <x:c r="D4" s="198"/>
      <x:c r="E4" s="196"/>
      <x:c r="F4" s="199" t="str">
        <x:v>Rechnungsnummer</x:v>
      </x:c>
      <x:c r="G4" s="199"/>
      <x:c r="H4" s="200"/>
      <x:c r="I4" s="200" t="str">
        <x:v>PAM-2026-0001</x:v>
      </x:c>
      <x:c r="Z4" t="n">
        <x:f>Z2+Stammdaten!$B$16</x:f>
        <x:v>46215</x:v>
      </x:c>
    </x:row>
    <x:row r="5">
      <x:c r="A5" s="198" t="str">
        <x:f>"Tel. "&amp;Stammdaten!$B$8&amp;" · "&amp;Stammdaten!$B$10</x:f>
        <x:v>Tel. +49 211 30 33 852 · https://pam-pizzeria-am-medienhafen.de/</x:v>
      </x:c>
      <x:c r="B5" s="198"/>
      <x:c r="C5" s="198"/>
      <x:c r="D5" s="198"/>
      <x:c r="E5" s="196"/>
      <x:c r="F5" s="199" t="str">
        <x:v>Rechnungsdatum</x:v>
      </x:c>
      <x:c r="G5" s="199"/>
      <x:c r="H5" s="201"/>
      <x:c r="I5" s="268" t="str">
        <x:v>28.06.2026</x:v>
      </x:c>
    </x:row>
    <x:row r="6">
      <x:c r="A6" s="196"/>
      <x:c r="B6" s="196"/>
      <x:c r="C6" s="196"/>
      <x:c r="D6" s="196"/>
      <x:c r="E6" s="196"/>
      <x:c r="F6" s="199" t="str">
        <x:v>Leistungsdatum</x:v>
      </x:c>
      <x:c r="G6" s="199"/>
      <x:c r="H6" s="201"/>
      <x:c r="I6" s="268" t="str">
        <x:v>28.06.2026</x:v>
      </x:c>
    </x:row>
    <x:row r="7">
      <x:c r="A7" s="196"/>
      <x:c r="B7" s="196"/>
      <x:c r="C7" s="196"/>
      <x:c r="D7" s="196"/>
      <x:c r="E7" s="196"/>
      <x:c r="F7" s="199" t="str">
        <x:v>Fällig am</x:v>
      </x:c>
      <x:c r="G7" s="199"/>
      <x:c r="H7" s="202"/>
      <x:c r="I7" s="270" t="str">
        <x:f>TEXT(DAY(Z4),"00")&amp;"."&amp;TEXT(MONTH(Z4),"00")&amp;"."&amp;YEAR(Z4)</x:f>
        <x:v>12.07.2026</x:v>
      </x:c>
    </x:row>
    <x:row r="8">
      <x:c r="A8" s="196"/>
      <x:c r="B8" s="196"/>
      <x:c r="C8" s="196"/>
      <x:c r="D8" s="196"/>
      <x:c r="E8" s="196"/>
      <x:c r="F8" s="196"/>
      <x:c r="G8" s="196"/>
      <x:c r="H8" s="196"/>
      <x:c r="I8" s="196"/>
    </x:row>
    <x:row r="9" ht="5" customHeight="1">
      <x:c r="A9" s="203" t="str"/>
      <x:c r="B9" s="203"/>
      <x:c r="C9" s="203"/>
      <x:c r="D9" s="203"/>
      <x:c r="E9" s="203"/>
      <x:c r="F9" s="203"/>
      <x:c r="G9" s="203"/>
      <x:c r="H9" s="203"/>
      <x:c r="I9" s="203"/>
    </x:row>
    <x:row r="10">
      <x:c r="A10" s="204" t="str">
        <x:v>RECHNUNG AN</x:v>
      </x:c>
      <x:c r="B10" s="204"/>
      <x:c r="C10" s="204"/>
      <x:c r="D10" s="204"/>
      <x:c r="E10" s="196"/>
      <x:c r="F10" s="204" t="str">
        <x:v>ZAHLUNGSINFORMATION</x:v>
      </x:c>
      <x:c r="G10" s="204"/>
      <x:c r="H10" s="204"/>
      <x:c r="I10" s="204"/>
    </x:row>
    <x:row r="11">
      <x:c r="A11" s="196" t="str">
        <x:v>Kundennummer</x:v>
      </x:c>
      <x:c r="B11" s="196"/>
      <x:c r="C11" s="205" t="str">
        <x:v>K0001</x:v>
      </x:c>
      <x:c r="D11" s="205"/>
      <x:c r="E11" s="196"/>
      <x:c r="F11" s="199" t="str">
        <x:v>Zahlungsziel</x:v>
      </x:c>
      <x:c r="G11" s="199"/>
      <x:c r="H11" s="206" t="str">
        <x:f>Stammdaten!$B$16&amp;" Tage"</x:f>
        <x:v>14 Tage</x:v>
      </x:c>
      <x:c r="I11" s="206"/>
    </x:row>
    <x:row r="12">
      <x:c r="A12" s="207" t="str">
        <x:f>IFERROR(VLOOKUP($C$11,Kunden!$A$2:$H$200,2,FALSE),"")</x:f>
        <x:v>Musterfirma GmbH</x:v>
      </x:c>
      <x:c r="B12" s="207"/>
      <x:c r="C12" s="207"/>
      <x:c r="D12" s="207"/>
      <x:c r="E12" s="196"/>
      <x:c r="F12" s="199" t="str">
        <x:v>IBAN</x:v>
      </x:c>
      <x:c r="G12" s="199"/>
      <x:c r="H12" s="206" t="str">
        <x:f>Stammdaten!$B$13</x:f>
        <x:v>DE40 3007 0024 0490 4389 00</x:v>
      </x:c>
      <x:c r="I12" s="206"/>
    </x:row>
    <x:row r="13">
      <x:c r="A13" s="206" t="str">
        <x:f>IFERROR(VLOOKUP($C$11,Kunden!$A$2:$H$200,3,FALSE),"")</x:f>
        <x:v>Max Mustermann</x:v>
      </x:c>
      <x:c r="B13" s="206"/>
      <x:c r="C13" s="206"/>
      <x:c r="D13" s="206"/>
      <x:c r="E13" s="196"/>
      <x:c r="F13" s="199" t="str">
        <x:v>BIC</x:v>
      </x:c>
      <x:c r="G13" s="199"/>
      <x:c r="H13" s="206" t="str">
        <x:f>Stammdaten!$B$14</x:f>
        <x:v>DEUTDEDBUE</x:v>
      </x:c>
      <x:c r="I13" s="206"/>
    </x:row>
    <x:row r="14">
      <x:c r="A14" s="206" t="str">
        <x:f>IFERROR(VLOOKUP($C$11,Kunden!$A$2:$H$200,4,FALSE),"")</x:f>
        <x:v>Musterstraße 1</x:v>
      </x:c>
      <x:c r="B14" s="206"/>
      <x:c r="C14" s="206"/>
      <x:c r="D14" s="206"/>
      <x:c r="E14" s="196"/>
      <x:c r="F14" s="199" t="str">
        <x:v>Bank</x:v>
      </x:c>
      <x:c r="G14" s="199"/>
      <x:c r="H14" s="206" t="str">
        <x:f>Stammdaten!$B$15</x:f>
        <x:v>Deutsche Bank</x:v>
      </x:c>
      <x:c r="I14" s="206"/>
    </x:row>
    <x:row r="15">
      <x:c r="A15" s="206" t="str">
        <x:f>IFERROR(VLOOKUP($C$11,Kunden!$A$2:$H$200,5,FALSE)&amp;" "&amp;VLOOKUP($C$11,Kunden!$A$2:$H$200,6,FALSE),"")</x:f>
        <x:v>40210 Düsseldorf</x:v>
      </x:c>
      <x:c r="B15" s="206"/>
      <x:c r="C15" s="206"/>
      <x:c r="D15" s="206"/>
      <x:c r="E15" s="196"/>
      <x:c r="F15" s="199" t="str">
        <x:v>Verwendungszweck</x:v>
      </x:c>
      <x:c r="G15" s="199"/>
      <x:c r="H15" s="206" t="str">
        <x:f>I4</x:f>
        <x:v>PAM-2026-0001</x:v>
      </x:c>
      <x:c r="I15" s="206"/>
    </x:row>
    <x:row r="16">
      <x:c r="A16" s="206" t="str">
        <x:f>IFERROR(VLOOKUP($C$11,Kunden!$A$2:$H$200,7,FALSE),"")</x:f>
        <x:v>Deutschland</x:v>
      </x:c>
      <x:c r="B16" s="206"/>
      <x:c r="C16" s="206"/>
      <x:c r="D16" s="206"/>
      <x:c r="E16" s="196"/>
      <x:c r="F16" s="208" t="str">
        <x:v>Bitte bei der Überweisung die Rechnungsnummer als Verwendungszweck angeben.</x:v>
      </x:c>
      <x:c r="G16" s="208"/>
      <x:c r="H16" s="208"/>
      <x:c r="I16" s="208"/>
    </x:row>
    <x:row r="17">
      <x:c r="A17" s="206" t="str">
        <x:f>IFERROR(VLOOKUP($C$11,Kunden!$A$2:$H$200,8,FALSE),"")</x:f>
        <x:v>rechnung@musterfirma.de</x:v>
      </x:c>
      <x:c r="B17" s="206"/>
      <x:c r="C17" s="206"/>
      <x:c r="D17" s="206"/>
      <x:c r="E17" s="196"/>
      <x:c r="F17" s="208"/>
      <x:c r="G17" s="208"/>
      <x:c r="H17" s="208"/>
      <x:c r="I17" s="208"/>
    </x:row>
    <x:row r="18">
      <x:c r="A18" s="196"/>
      <x:c r="B18" s="196"/>
      <x:c r="C18" s="196"/>
      <x:c r="D18" s="196"/>
      <x:c r="E18" s="196"/>
      <x:c r="F18" s="196"/>
      <x:c r="G18" s="196"/>
      <x:c r="H18" s="196"/>
      <x:c r="I18" s="196"/>
    </x:row>
    <x:row r="19" ht="32" customHeight="1">
      <x:c r="A19" s="131" t="str">
        <x:v>Pos.</x:v>
      </x:c>
      <x:c r="B19" s="131" t="str">
        <x:v>Beschreibung</x:v>
      </x:c>
      <x:c r="C19" s="131" t="str"/>
      <x:c r="D19" s="131" t="str">
        <x:v>Menge</x:v>
      </x:c>
      <x:c r="E19" s="131" t="str">
        <x:v>Einheit</x:v>
      </x:c>
      <x:c r="F19" s="131" t="str">
        <x:v>Einzelpreis brutto</x:v>
      </x:c>
      <x:c r="G19" s="131" t="str">
        <x:v>MwSt.</x:v>
      </x:c>
      <x:c r="H19" s="131" t="str">
        <x:v>Gesamt netto</x:v>
      </x:c>
      <x:c r="I19" s="131" t="str">
        <x:v>Gesamt brutto</x:v>
      </x:c>
    </x:row>
    <x:row r="20" ht="23" customHeight="1">
      <x:c r="A20" s="209" t="str">
        <x:f>IF(B20&lt;&gt;"",ROW()-19,"")</x:f>
      </x:c>
      <x:c r="B20" s="210"/>
      <x:c r="C20" s="210"/>
      <x:c r="D20" s="211"/>
      <x:c r="E20" s="212"/>
      <x:c r="F20" s="213"/>
      <x:c r="G20" s="214" t="n">
        <x:v>0.07</x:v>
      </x:c>
      <x:c r="H20" s="215" t="str">
        <x:f>IF(OR(D20="",F20="",G20=""),"",ROUND(D20*F20/(1+G20),2))</x:f>
      </x:c>
      <x:c r="I20" s="215" t="str">
        <x:f>IF(OR(D20="",F20=""),"",ROUND(D20*F20,2))</x:f>
      </x:c>
    </x:row>
    <x:row r="21" ht="23" customHeight="1">
      <x:c r="A21" s="209" t="str">
        <x:f>IF(B21&lt;&gt;"",ROW()-19,"")</x:f>
      </x:c>
      <x:c r="B21" s="210"/>
      <x:c r="C21" s="210"/>
      <x:c r="D21" s="211"/>
      <x:c r="E21" s="212"/>
      <x:c r="F21" s="213"/>
      <x:c r="G21" s="214" t="n">
        <x:v>0.07</x:v>
      </x:c>
      <x:c r="H21" s="215" t="str">
        <x:f>IF(OR(D21="",F21="",G21=""),"",ROUND(D21*F21/(1+G21),2))</x:f>
      </x:c>
      <x:c r="I21" s="215" t="str">
        <x:f>IF(OR(D21="",F21=""),"",ROUND(D21*F21,2))</x:f>
      </x:c>
    </x:row>
    <x:row r="22" ht="23" customHeight="1">
      <x:c r="A22" s="209" t="str">
        <x:f>IF(B22&lt;&gt;"",ROW()-19,"")</x:f>
      </x:c>
      <x:c r="B22" s="210"/>
      <x:c r="C22" s="210"/>
      <x:c r="D22" s="211"/>
      <x:c r="E22" s="212"/>
      <x:c r="F22" s="213"/>
      <x:c r="G22" s="214" t="n">
        <x:v>0.07</x:v>
      </x:c>
      <x:c r="H22" s="215" t="str">
        <x:f>IF(OR(D22="",F22="",G22=""),"",ROUND(D22*F22/(1+G22),2))</x:f>
      </x:c>
      <x:c r="I22" s="215" t="str">
        <x:f>IF(OR(D22="",F22=""),"",ROUND(D22*F22,2))</x:f>
      </x:c>
    </x:row>
    <x:row r="23" ht="23" customHeight="1">
      <x:c r="A23" s="209" t="str">
        <x:f>IF(B23&lt;&gt;"",ROW()-19,"")</x:f>
      </x:c>
      <x:c r="B23" s="210"/>
      <x:c r="C23" s="210"/>
      <x:c r="D23" s="211"/>
      <x:c r="E23" s="212"/>
      <x:c r="F23" s="213"/>
      <x:c r="G23" s="214" t="n">
        <x:v>0.07</x:v>
      </x:c>
      <x:c r="H23" s="215" t="str">
        <x:f>IF(OR(D23="",F23="",G23=""),"",ROUND(D23*F23/(1+G23),2))</x:f>
      </x:c>
      <x:c r="I23" s="215" t="str">
        <x:f>IF(OR(D23="",F23=""),"",ROUND(D23*F23,2))</x:f>
      </x:c>
    </x:row>
    <x:row r="24" ht="23" customHeight="1">
      <x:c r="A24" s="209" t="str">
        <x:f>IF(B24&lt;&gt;"",ROW()-19,"")</x:f>
      </x:c>
      <x:c r="B24" s="210"/>
      <x:c r="C24" s="210"/>
      <x:c r="D24" s="211"/>
      <x:c r="E24" s="212"/>
      <x:c r="F24" s="213"/>
      <x:c r="G24" s="214" t="n">
        <x:v>0.07</x:v>
      </x:c>
      <x:c r="H24" s="215" t="str">
        <x:f>IF(OR(D24="",F24="",G24=""),"",ROUND(D24*F24/(1+G24),2))</x:f>
      </x:c>
      <x:c r="I24" s="215" t="str">
        <x:f>IF(OR(D24="",F24=""),"",ROUND(D24*F24,2))</x:f>
      </x:c>
    </x:row>
    <x:row r="25" ht="23" customHeight="1">
      <x:c r="A25" s="209" t="str">
        <x:f>IF(B25&lt;&gt;"",ROW()-19,"")</x:f>
      </x:c>
      <x:c r="B25" s="210"/>
      <x:c r="C25" s="210"/>
      <x:c r="D25" s="211"/>
      <x:c r="E25" s="212"/>
      <x:c r="F25" s="213"/>
      <x:c r="G25" s="214" t="n">
        <x:v>0.07</x:v>
      </x:c>
      <x:c r="H25" s="215" t="str">
        <x:f>IF(OR(D25="",F25="",G25=""),"",ROUND(D25*F25/(1+G25),2))</x:f>
      </x:c>
      <x:c r="I25" s="215" t="str">
        <x:f>IF(OR(D25="",F25=""),"",ROUND(D25*F25,2))</x:f>
      </x:c>
    </x:row>
    <x:row r="26" ht="23" customHeight="1">
      <x:c r="A26" s="209" t="str">
        <x:f>IF(B26&lt;&gt;"",ROW()-19,"")</x:f>
      </x:c>
      <x:c r="B26" s="210"/>
      <x:c r="C26" s="210"/>
      <x:c r="D26" s="211"/>
      <x:c r="E26" s="212"/>
      <x:c r="F26" s="213"/>
      <x:c r="G26" s="214" t="n">
        <x:v>0.07</x:v>
      </x:c>
      <x:c r="H26" s="215" t="str">
        <x:f>IF(OR(D26="",F26="",G26=""),"",ROUND(D26*F26/(1+G26),2))</x:f>
      </x:c>
      <x:c r="I26" s="215" t="str">
        <x:f>IF(OR(D26="",F26=""),"",ROUND(D26*F26,2))</x:f>
      </x:c>
    </x:row>
    <x:row r="27" ht="23" customHeight="1">
      <x:c r="A27" s="209" t="str">
        <x:f>IF(B27&lt;&gt;"",ROW()-19,"")</x:f>
      </x:c>
      <x:c r="B27" s="210"/>
      <x:c r="C27" s="210"/>
      <x:c r="D27" s="211"/>
      <x:c r="E27" s="212"/>
      <x:c r="F27" s="213"/>
      <x:c r="G27" s="214" t="n">
        <x:v>0.07</x:v>
      </x:c>
      <x:c r="H27" s="215" t="str">
        <x:f>IF(OR(D27="",F27="",G27=""),"",ROUND(D27*F27/(1+G27),2))</x:f>
      </x:c>
      <x:c r="I27" s="215" t="str">
        <x:f>IF(OR(D27="",F27=""),"",ROUND(D27*F27,2))</x:f>
      </x:c>
    </x:row>
    <x:row r="28" ht="23" customHeight="1">
      <x:c r="A28" s="209" t="str">
        <x:f>IF(B28&lt;&gt;"",ROW()-19,"")</x:f>
      </x:c>
      <x:c r="B28" s="210"/>
      <x:c r="C28" s="210"/>
      <x:c r="D28" s="211"/>
      <x:c r="E28" s="212"/>
      <x:c r="F28" s="213"/>
      <x:c r="G28" s="214" t="n">
        <x:v>0.07</x:v>
      </x:c>
      <x:c r="H28" s="215" t="str">
        <x:f>IF(OR(D28="",F28="",G28=""),"",ROUND(D28*F28/(1+G28),2))</x:f>
      </x:c>
      <x:c r="I28" s="215" t="str">
        <x:f>IF(OR(D28="",F28=""),"",ROUND(D28*F28,2))</x:f>
      </x:c>
    </x:row>
    <x:row r="29" ht="23" customHeight="1">
      <x:c r="A29" s="209" t="str">
        <x:f>IF(B29&lt;&gt;"",ROW()-19,"")</x:f>
      </x:c>
      <x:c r="B29" s="210"/>
      <x:c r="C29" s="210"/>
      <x:c r="D29" s="211"/>
      <x:c r="E29" s="212"/>
      <x:c r="F29" s="213"/>
      <x:c r="G29" s="214" t="n">
        <x:v>0.07</x:v>
      </x:c>
      <x:c r="H29" s="215" t="str">
        <x:f>IF(OR(D29="",F29="",G29=""),"",ROUND(D29*F29/(1+G29),2))</x:f>
      </x:c>
      <x:c r="I29" s="215" t="str">
        <x:f>IF(OR(D29="",F29=""),"",ROUND(D29*F29,2))</x:f>
      </x:c>
    </x:row>
    <x:row r="30" ht="23" customHeight="1">
      <x:c r="A30" s="209" t="str">
        <x:f>IF(B30&lt;&gt;"",ROW()-19,"")</x:f>
      </x:c>
      <x:c r="B30" s="210"/>
      <x:c r="C30" s="210"/>
      <x:c r="D30" s="211"/>
      <x:c r="E30" s="212"/>
      <x:c r="F30" s="213"/>
      <x:c r="G30" s="214" t="n">
        <x:v>0.07</x:v>
      </x:c>
      <x:c r="H30" s="215" t="str">
        <x:f>IF(OR(D30="",F30="",G30=""),"",ROUND(D30*F30/(1+G30),2))</x:f>
      </x:c>
      <x:c r="I30" s="215" t="str">
        <x:f>IF(OR(D30="",F30=""),"",ROUND(D30*F30,2))</x:f>
      </x:c>
    </x:row>
    <x:row r="31" ht="23" customHeight="1">
      <x:c r="A31" s="209" t="str">
        <x:f>IF(B31&lt;&gt;"",ROW()-19,"")</x:f>
      </x:c>
      <x:c r="B31" s="210"/>
      <x:c r="C31" s="210"/>
      <x:c r="D31" s="211"/>
      <x:c r="E31" s="212"/>
      <x:c r="F31" s="213"/>
      <x:c r="G31" s="214" t="n">
        <x:v>0.07</x:v>
      </x:c>
      <x:c r="H31" s="215" t="str">
        <x:f>IF(OR(D31="",F31="",G31=""),"",ROUND(D31*F31/(1+G31),2))</x:f>
      </x:c>
      <x:c r="I31" s="215" t="str">
        <x:f>IF(OR(D31="",F31=""),"",ROUND(D31*F31,2))</x:f>
      </x:c>
    </x:row>
    <x:row r="32" ht="23" customHeight="1">
      <x:c r="A32" s="209" t="str">
        <x:f>IF(B32&lt;&gt;"",ROW()-19,"")</x:f>
      </x:c>
      <x:c r="B32" s="210"/>
      <x:c r="C32" s="210"/>
      <x:c r="D32" s="211"/>
      <x:c r="E32" s="212"/>
      <x:c r="F32" s="213"/>
      <x:c r="G32" s="214" t="n">
        <x:v>0.07</x:v>
      </x:c>
      <x:c r="H32" s="215" t="str">
        <x:f>IF(OR(D32="",F32="",G32=""),"",ROUND(D32*F32/(1+G32),2))</x:f>
      </x:c>
      <x:c r="I32" s="215" t="str">
        <x:f>IF(OR(D32="",F32=""),"",ROUND(D32*F32,2))</x:f>
      </x:c>
    </x:row>
    <x:row r="33" ht="23" customHeight="1">
      <x:c r="A33" s="209" t="str">
        <x:f>IF(B33&lt;&gt;"",ROW()-19,"")</x:f>
      </x:c>
      <x:c r="B33" s="210"/>
      <x:c r="C33" s="210"/>
      <x:c r="D33" s="211"/>
      <x:c r="E33" s="212"/>
      <x:c r="F33" s="213"/>
      <x:c r="G33" s="214" t="n">
        <x:v>0.07</x:v>
      </x:c>
      <x:c r="H33" s="215" t="str">
        <x:f>IF(OR(D33="",F33="",G33=""),"",ROUND(D33*F33/(1+G33),2))</x:f>
      </x:c>
      <x:c r="I33" s="215" t="str">
        <x:f>IF(OR(D33="",F33=""),"",ROUND(D33*F33,2))</x:f>
      </x:c>
    </x:row>
    <x:row r="34" ht="23" customHeight="1">
      <x:c r="A34" s="209" t="str">
        <x:f>IF(B34&lt;&gt;"",ROW()-19,"")</x:f>
      </x:c>
      <x:c r="B34" s="210"/>
      <x:c r="C34" s="210"/>
      <x:c r="D34" s="211"/>
      <x:c r="E34" s="212"/>
      <x:c r="F34" s="213"/>
      <x:c r="G34" s="214" t="n">
        <x:v>0.07</x:v>
      </x:c>
      <x:c r="H34" s="215" t="str">
        <x:f>IF(OR(D34="",F34="",G34=""),"",ROUND(D34*F34/(1+G34),2))</x:f>
      </x:c>
      <x:c r="I34" s="215" t="str">
        <x:f>IF(OR(D34="",F34=""),"",ROUND(D34*F34,2))</x:f>
      </x:c>
    </x:row>
    <x:row r="35">
      <x:c r="A35" s="196"/>
      <x:c r="B35" s="196"/>
      <x:c r="C35" s="196"/>
      <x:c r="D35" s="196"/>
      <x:c r="E35" s="196"/>
      <x:c r="F35" s="196"/>
      <x:c r="G35" s="196"/>
      <x:c r="H35" s="196"/>
      <x:c r="I35" s="196"/>
    </x:row>
    <x:row r="36">
      <x:c r="A36" s="153" t="str">
        <x:v>Hinweis: Seit 01.01.2026 gelten für Speisen in der Gastronomie grundsätzlich 7 % MwSt.; Getränke bleiben grundsätzlich bei 19 %. Steuersatz je Position prüfen.</x:v>
      </x:c>
      <x:c r="B36" s="153"/>
      <x:c r="C36" s="153"/>
      <x:c r="D36" s="153"/>
      <x:c r="E36" s="153"/>
      <x:c r="F36" s="196"/>
      <x:c r="G36" s="199" t="str">
        <x:v>Netto gesamt</x:v>
      </x:c>
      <x:c r="H36" s="199"/>
      <x:c r="I36" s="216" t="n">
        <x:f>SUM(H20:H34)</x:f>
        <x:v>0</x:v>
      </x:c>
    </x:row>
    <x:row r="37">
      <x:c r="A37" s="153"/>
      <x:c r="B37" s="153"/>
      <x:c r="C37" s="153"/>
      <x:c r="D37" s="153"/>
      <x:c r="E37" s="153"/>
      <x:c r="F37" s="196"/>
      <x:c r="G37" s="199" t="str">
        <x:v>MwSt. 7 %</x:v>
      </x:c>
      <x:c r="H37" s="199"/>
      <x:c r="I37" s="216" t="n">
        <x:f>SUMIF(G20:G34,7%,I20:I34)-SUMIF(G20:G34,7%,H20:H34)</x:f>
        <x:v>0</x:v>
      </x:c>
    </x:row>
    <x:row r="38">
      <x:c r="A38" s="196"/>
      <x:c r="B38" s="196"/>
      <x:c r="C38" s="196"/>
      <x:c r="D38" s="196"/>
      <x:c r="E38" s="196"/>
      <x:c r="F38" s="196"/>
      <x:c r="G38" s="199" t="str">
        <x:v>MwSt. 19 %</x:v>
      </x:c>
      <x:c r="H38" s="199"/>
      <x:c r="I38" s="216" t="n">
        <x:f>SUMIF(G20:G34,19%,I20:I34)-SUMIF(G20:G34,19%,H20:H34)</x:f>
        <x:v>0</x:v>
      </x:c>
    </x:row>
    <x:row r="39">
      <x:c r="A39" s="173" t="str">
        <x:v>Zahlbar bis zum oben angegebenen Fälligkeitsdatum auf das genannte Konto. Vielen Dank für Ihren Auftrag.</x:v>
      </x:c>
      <x:c r="B39" s="173"/>
      <x:c r="C39" s="173"/>
      <x:c r="D39" s="173"/>
      <x:c r="E39" s="173"/>
      <x:c r="F39" s="196"/>
      <x:c r="G39" s="199" t="str">
        <x:v>Umsatzsteuer gesamt</x:v>
      </x:c>
      <x:c r="H39" s="199"/>
      <x:c r="I39" s="216" t="n">
        <x:f>SUM(I20:I34)-SUM(H20:H34)</x:f>
        <x:v>0</x:v>
      </x:c>
    </x:row>
    <x:row r="40">
      <x:c r="A40" s="173"/>
      <x:c r="B40" s="173"/>
      <x:c r="C40" s="173"/>
      <x:c r="D40" s="173"/>
      <x:c r="E40" s="173"/>
      <x:c r="F40" s="196"/>
      <x:c r="G40" s="217" t="str">
        <x:v>GESAMTBETRAG</x:v>
      </x:c>
      <x:c r="H40" s="217"/>
      <x:c r="I40" s="218" t="n">
        <x:f>SUM(I20:I34)</x:f>
        <x:v>0</x:v>
      </x:c>
    </x:row>
    <x:row r="41">
      <x:c r="A41" s="173"/>
      <x:c r="B41" s="173"/>
      <x:c r="C41" s="173"/>
      <x:c r="D41" s="173"/>
      <x:c r="E41" s="173"/>
      <x:c r="F41" s="196"/>
      <x:c r="G41" s="196"/>
      <x:c r="H41" s="196"/>
      <x:c r="I41" s="196"/>
    </x:row>
    <x:row r="42">
      <x:c r="A42" s="196"/>
      <x:c r="B42" s="196"/>
      <x:c r="C42" s="196"/>
      <x:c r="D42" s="196"/>
      <x:c r="E42" s="196"/>
      <x:c r="F42" s="196"/>
      <x:c r="G42" s="196"/>
      <x:c r="H42" s="196"/>
      <x:c r="I42" s="196"/>
    </x:row>
    <x:row r="43">
      <x:c r="A43" s="196"/>
      <x:c r="B43" s="196"/>
      <x:c r="C43" s="196"/>
      <x:c r="D43" s="196"/>
      <x:c r="E43" s="196"/>
      <x:c r="F43" s="196"/>
      <x:c r="G43" s="196"/>
      <x:c r="H43" s="196"/>
      <x:c r="I43" s="196"/>
    </x:row>
    <x:row r="44" ht="26" customHeight="1">
      <x:c r="A44" s="178" t="str">
        <x:f>"Pizzeria am Medienhafen · "&amp;Stammdaten!$B$6&amp;", "&amp;Stammdaten!$B$7&amp;" · "&amp;Stammdaten!$B$10</x:f>
        <x:v>Pizzeria am Medienhafen · Wupperstraße 14, 40221 Düsseldorf · https://pam-pizzeria-am-medienhafen.de/</x:v>
      </x:c>
      <x:c r="B44" s="178"/>
      <x:c r="C44" s="178"/>
      <x:c r="D44" s="178"/>
      <x:c r="E44" s="178"/>
      <x:c r="F44" s="178"/>
      <x:c r="G44" s="178"/>
      <x:c r="H44" s="178"/>
      <x:c r="I44" s="178"/>
    </x:row>
    <x:row r="45">
      <x:c r="A45" s="219" t="str">
        <x:v>Vor dem Versand prüfen: eindeutige Rechnungsnummer, Leistungsdatum, Kundenanschrift, Steuernummer/USt-IdNr., korrekte Steuersätze und Bankverbindung.</x:v>
      </x:c>
      <x:c r="B45" s="219"/>
      <x:c r="C45" s="219"/>
      <x:c r="D45" s="219"/>
      <x:c r="E45" s="219"/>
      <x:c r="F45" s="219"/>
      <x:c r="G45" s="219"/>
      <x:c r="H45" s="219"/>
      <x:c r="I45" s="219"/>
    </x:row>
    <x:row r="46">
      <x:c r="A46" s="219"/>
      <x:c r="B46" s="219"/>
      <x:c r="C46" s="219"/>
      <x:c r="D46" s="219"/>
      <x:c r="E46" s="219"/>
      <x:c r="F46" s="219"/>
      <x:c r="G46" s="219"/>
      <x:c r="H46" s="219"/>
      <x:c r="I46" s="219"/>
    </x:row>
    <x:row r="47">
      <x:c r="A47" s="196"/>
      <x:c r="B47" s="196"/>
      <x:c r="C47" s="196"/>
      <x:c r="D47" s="196"/>
      <x:c r="E47" s="196"/>
      <x:c r="F47" s="196"/>
      <x:c r="G47" s="196"/>
      <x:c r="H47" s="196"/>
      <x:c r="I47" s="196"/>
    </x:row>
    <x:row r="48">
      <x:c r="A48" s="196"/>
      <x:c r="B48" s="196"/>
      <x:c r="C48" s="196"/>
      <x:c r="D48" s="196"/>
      <x:c r="E48" s="196"/>
      <x:c r="F48" s="196"/>
      <x:c r="G48" s="196"/>
      <x:c r="H48" s="196"/>
      <x:c r="I48" s="196"/>
    </x:row>
    <x:row r="49">
      <x:c r="A49" s="220"/>
      <x:c r="B49" s="220"/>
      <x:c r="C49" s="220"/>
      <x:c r="D49" s="220"/>
      <x:c r="E49" s="220"/>
      <x:c r="F49" s="220"/>
      <x:c r="G49" s="220"/>
      <x:c r="H49" s="220"/>
      <x:c r="I49" s="220"/>
    </x:row>
    <x:row r="50">
      <x:c r="A50" s="220"/>
      <x:c r="B50" s="220"/>
      <x:c r="C50" s="220"/>
      <x:c r="D50" s="220"/>
      <x:c r="E50" s="220"/>
      <x:c r="F50" s="220"/>
      <x:c r="G50" s="220"/>
      <x:c r="H50" s="220"/>
      <x:c r="I50" s="220"/>
    </x:row>
    <x:row r="51">
      <x:c r="A51" s="220"/>
      <x:c r="B51" s="220"/>
      <x:c r="C51" s="220"/>
      <x:c r="D51" s="220"/>
      <x:c r="E51" s="220"/>
      <x:c r="F51" s="220"/>
      <x:c r="G51" s="220"/>
      <x:c r="H51" s="220"/>
      <x:c r="I51" s="220"/>
    </x:row>
    <x:row r="52">
      <x:c r="A52" s="220"/>
      <x:c r="B52" s="220"/>
      <x:c r="C52" s="220"/>
      <x:c r="D52" s="220"/>
      <x:c r="E52" s="220"/>
      <x:c r="F52" s="220"/>
      <x:c r="G52" s="220"/>
      <x:c r="H52" s="220"/>
      <x:c r="I52" s="220"/>
    </x:row>
    <x:row r="53">
      <x:c r="A53" s="220"/>
      <x:c r="B53" s="220"/>
      <x:c r="C53" s="220"/>
      <x:c r="D53" s="220"/>
      <x:c r="E53" s="220"/>
      <x:c r="F53" s="220"/>
      <x:c r="G53" s="220"/>
      <x:c r="H53" s="220"/>
      <x:c r="I53" s="220"/>
    </x:row>
    <x:row r="54">
      <x:c r="A54" s="220"/>
      <x:c r="B54" s="220"/>
      <x:c r="C54" s="220"/>
      <x:c r="D54" s="220"/>
      <x:c r="E54" s="220"/>
      <x:c r="F54" s="220"/>
      <x:c r="G54" s="220"/>
      <x:c r="H54" s="220"/>
      <x:c r="I54" s="220"/>
    </x:row>
    <x:row r="55">
      <x:c r="A55" s="220"/>
      <x:c r="B55" s="220"/>
      <x:c r="C55" s="220"/>
      <x:c r="D55" s="220"/>
      <x:c r="E55" s="220"/>
      <x:c r="F55" s="220"/>
      <x:c r="G55" s="220"/>
      <x:c r="H55" s="220"/>
      <x:c r="I55" s="220"/>
    </x:row>
    <x:row r="56">
      <x:c r="A56" s="220"/>
      <x:c r="B56" s="220"/>
      <x:c r="C56" s="220"/>
      <x:c r="D56" s="220"/>
      <x:c r="E56" s="220"/>
      <x:c r="F56" s="220"/>
      <x:c r="G56" s="220"/>
      <x:c r="H56" s="220"/>
      <x:c r="I56" s="220"/>
    </x:row>
    <x:row r="57">
      <x:c r="A57" s="220"/>
      <x:c r="B57" s="220"/>
      <x:c r="C57" s="220"/>
      <x:c r="D57" s="220"/>
      <x:c r="E57" s="220"/>
      <x:c r="F57" s="220"/>
      <x:c r="G57" s="220"/>
      <x:c r="H57" s="220"/>
      <x:c r="I57" s="220"/>
    </x:row>
    <x:row r="58">
      <x:c r="A58" s="220"/>
      <x:c r="B58" s="220"/>
      <x:c r="C58" s="220"/>
      <x:c r="D58" s="220"/>
      <x:c r="E58" s="220"/>
      <x:c r="F58" s="220"/>
      <x:c r="G58" s="220"/>
      <x:c r="H58" s="220"/>
      <x:c r="I58" s="220"/>
    </x:row>
    <x:row r="59">
      <x:c r="A59" s="220"/>
      <x:c r="B59" s="220"/>
      <x:c r="C59" s="220"/>
      <x:c r="D59" s="220"/>
      <x:c r="E59" s="220"/>
      <x:c r="F59" s="220"/>
      <x:c r="G59" s="220"/>
      <x:c r="H59" s="220"/>
      <x:c r="I59" s="220"/>
    </x:row>
    <x:row r="60">
      <x:c r="A60" s="220"/>
      <x:c r="B60" s="220"/>
      <x:c r="C60" s="220"/>
      <x:c r="D60" s="220"/>
      <x:c r="E60" s="220"/>
      <x:c r="F60" s="220"/>
      <x:c r="G60" s="220"/>
      <x:c r="H60" s="220"/>
      <x:c r="I60" s="220"/>
    </x:row>
  </x:sheetData>
  <x:mergeCells>
    <x:mergeCell ref="A1:D2"/>
    <x:mergeCell ref="F1:I2"/>
    <x:mergeCell ref="A3:D3"/>
    <x:mergeCell ref="A4:D4"/>
    <x:mergeCell ref="A5:D5"/>
    <x:mergeCell ref="F4:G4"/>
    <x:mergeCell ref="F5:G5"/>
    <x:mergeCell ref="F6:G6"/>
    <x:mergeCell ref="F7:G7"/>
    <x:mergeCell ref="A9:I9"/>
    <x:mergeCell ref="A10:D10"/>
    <x:mergeCell ref="F10:I10"/>
    <x:mergeCell ref="A11:B11"/>
    <x:mergeCell ref="C11:D11"/>
    <x:mergeCell ref="A12:D12"/>
    <x:mergeCell ref="A13:D13"/>
    <x:mergeCell ref="A14:D14"/>
    <x:mergeCell ref="A15:D15"/>
    <x:mergeCell ref="A16:D16"/>
    <x:mergeCell ref="A17:D17"/>
    <x:mergeCell ref="F11:G11"/>
    <x:mergeCell ref="H11:I11"/>
    <x:mergeCell ref="F12:G12"/>
    <x:mergeCell ref="H12:I12"/>
    <x:mergeCell ref="F13:G13"/>
    <x:mergeCell ref="H13:I13"/>
    <x:mergeCell ref="F14:G14"/>
    <x:mergeCell ref="H14:I14"/>
    <x:mergeCell ref="F15:G15"/>
    <x:mergeCell ref="H15:I15"/>
    <x:mergeCell ref="F16:I17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A36:E37"/>
    <x:mergeCell ref="G36:H36"/>
    <x:mergeCell ref="G37:H37"/>
    <x:mergeCell ref="G38:H38"/>
    <x:mergeCell ref="G39:H39"/>
    <x:mergeCell ref="G40:H40"/>
    <x:mergeCell ref="A39:E41"/>
    <x:mergeCell ref="A44:I44"/>
    <x:mergeCell ref="A45:I46"/>
  </x:mergeCells>
  <x:dataValidations count="3">
    <x:dataValidation type="list" sqref="C11:D11">
      <x:formula1>Kunden!$A$2:$A$200</x:formula1>
    </x:dataValidation>
    <x:dataValidation type="list" sqref="E20:E34">
      <x:formula1>Stammdaten!$E$4:$E$8</x:formula1>
    </x:dataValidation>
    <x:dataValidation type="list" sqref="G20:G34">
      <x:formula1>Stammdaten!$D$4:$D$6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4" max="4" width="16" hidden="0" customWidth="1"/>
    <x:col min="5" max="5" width="16" hidden="0" customWidth="1"/>
  </x:cols>
  <x:sheetData>
    <x:row r="1" ht="34" customHeight="1">
      <x:c r="A1" s="64" t="str">
        <x:v>Stammdaten &amp; Konfiguration</x:v>
      </x:c>
      <x:c r="B1" s="64"/>
      <x:c r="C1" s="64"/>
      <x:c r="D1" s="64"/>
      <x:c r="E1" s="64"/>
      <x:c r="F1" s="220"/>
      <x:c r="G1" s="220"/>
      <x:c r="H1" s="220"/>
      <x:c r="I1" s="220"/>
    </x:row>
    <x:row r="2">
      <x:c r="A2" s="246"/>
      <x:c r="B2" s="246"/>
      <x:c r="C2" s="246"/>
      <x:c r="D2" s="246"/>
      <x:c r="E2" s="246"/>
      <x:c r="F2" s="220"/>
      <x:c r="G2" s="220"/>
      <x:c r="H2" s="220"/>
      <x:c r="I2" s="220"/>
    </x:row>
    <x:row r="3">
      <x:c r="A3" s="247" t="str">
        <x:v>Feld</x:v>
      </x:c>
      <x:c r="B3" s="247" t="str">
        <x:v>Wert</x:v>
      </x:c>
      <x:c r="C3" s="246"/>
      <x:c r="D3" s="248" t="str">
        <x:v>MwSt.-Sätze</x:v>
      </x:c>
      <x:c r="E3" s="248" t="str">
        <x:v>Einheiten</x:v>
      </x:c>
      <x:c r="F3" s="220"/>
      <x:c r="G3" s="220"/>
      <x:c r="H3" s="220"/>
      <x:c r="I3" s="220"/>
    </x:row>
    <x:row r="4">
      <x:c r="A4" s="249" t="str">
        <x:v>Unternehmensname</x:v>
      </x:c>
      <x:c r="B4" s="250" t="str">
        <x:v>Pizzeria am Medienhafen</x:v>
      </x:c>
      <x:c r="C4" s="246"/>
      <x:c r="D4" s="251" t="n">
        <x:v>0</x:v>
      </x:c>
      <x:c r="E4" s="252" t="str">
        <x:v>Stk.</x:v>
      </x:c>
      <x:c r="F4" s="220"/>
      <x:c r="G4" s="220"/>
      <x:c r="H4" s="220"/>
      <x:c r="I4" s="220"/>
    </x:row>
    <x:row r="5">
      <x:c r="A5" s="249" t="str">
        <x:v>Inhaber / Rechtsform</x:v>
      </x:c>
      <x:c r="B5" s="273" t="str">
        <x:v>[BITTE ERGÄNZEN]</x:v>
      </x:c>
      <x:c r="C5" s="246"/>
      <x:c r="D5" s="251" t="n">
        <x:v>0.07</x:v>
      </x:c>
      <x:c r="E5" s="252" t="str">
        <x:v>Pauschal</x:v>
      </x:c>
      <x:c r="F5" s="220"/>
      <x:c r="G5" s="220"/>
      <x:c r="H5" s="220"/>
      <x:c r="I5" s="220"/>
    </x:row>
    <x:row r="6">
      <x:c r="A6" s="249" t="str">
        <x:v>Straße</x:v>
      </x:c>
      <x:c r="B6" s="250" t="str">
        <x:v>Wupperstraße 14</x:v>
      </x:c>
      <x:c r="C6" s="246"/>
      <x:c r="D6" s="251" t="n">
        <x:v>0.19</x:v>
      </x:c>
      <x:c r="E6" s="252" t="str">
        <x:v>Std.</x:v>
      </x:c>
      <x:c r="F6" s="220"/>
      <x:c r="G6" s="220"/>
      <x:c r="H6" s="220"/>
      <x:c r="I6" s="220"/>
    </x:row>
    <x:row r="7">
      <x:c r="A7" s="249" t="str">
        <x:v>PLZ / Ort</x:v>
      </x:c>
      <x:c r="B7" s="250" t="str">
        <x:v>40221 Düsseldorf</x:v>
      </x:c>
      <x:c r="C7" s="246"/>
      <x:c r="D7" s="252"/>
      <x:c r="E7" s="252" t="str">
        <x:v>kg</x:v>
      </x:c>
      <x:c r="F7" s="220"/>
      <x:c r="G7" s="220"/>
      <x:c r="H7" s="220"/>
      <x:c r="I7" s="220"/>
    </x:row>
    <x:row r="8">
      <x:c r="A8" s="249" t="str">
        <x:v>Telefon</x:v>
      </x:c>
      <x:c r="B8" s="253" t="str">
        <x:v>+49 211 30 33 852</x:v>
      </x:c>
      <x:c r="C8" s="246"/>
      <x:c r="D8" s="252"/>
      <x:c r="E8" s="252" t="str">
        <x:v>l</x:v>
      </x:c>
      <x:c r="F8" s="220"/>
      <x:c r="G8" s="220"/>
      <x:c r="H8" s="220"/>
      <x:c r="I8" s="220"/>
    </x:row>
    <x:row r="9">
      <x:c r="A9" s="249" t="str">
        <x:v>E-Mail</x:v>
      </x:c>
      <x:c r="B9" s="275" t="str">
        <x:v>rezatalebi44@yahoo.de</x:v>
      </x:c>
      <x:c r="C9" s="246"/>
      <x:c r="D9" s="246"/>
      <x:c r="E9" s="246"/>
      <x:c r="F9" s="220"/>
      <x:c r="G9" s="220"/>
      <x:c r="H9" s="220"/>
      <x:c r="I9" s="220"/>
    </x:row>
    <x:row r="10">
      <x:c r="A10" s="249" t="str">
        <x:v>Website</x:v>
      </x:c>
      <x:c r="B10" s="250" t="str">
        <x:v>https://pam-pizzeria-am-medienhafen.de/</x:v>
      </x:c>
      <x:c r="C10" s="246"/>
      <x:c r="D10" s="246"/>
      <x:c r="E10" s="246"/>
      <x:c r="F10" s="220"/>
      <x:c r="G10" s="220"/>
      <x:c r="H10" s="220"/>
      <x:c r="I10" s="220"/>
    </x:row>
    <x:row r="11">
      <x:c r="A11" s="249" t="str">
        <x:v>Steuernummer</x:v>
      </x:c>
      <x:c r="B11" s="275" t="str">
        <x:v>106/5240/2297</x:v>
      </x:c>
      <x:c r="C11" s="246"/>
      <x:c r="D11" s="246"/>
      <x:c r="E11" s="246"/>
      <x:c r="F11" s="220"/>
      <x:c r="G11" s="220"/>
      <x:c r="H11" s="220"/>
      <x:c r="I11" s="220"/>
    </x:row>
    <x:row r="12">
      <x:c r="A12" s="249" t="str">
        <x:v>USt-IdNr.</x:v>
      </x:c>
      <x:c r="B12" s="253" t="str"/>
      <x:c r="C12" s="246"/>
      <x:c r="D12" s="246"/>
      <x:c r="E12" s="246"/>
      <x:c r="F12" s="220"/>
      <x:c r="G12" s="220"/>
      <x:c r="H12" s="220"/>
      <x:c r="I12" s="220"/>
    </x:row>
    <x:row r="13">
      <x:c r="A13" s="249" t="str">
        <x:v>IBAN</x:v>
      </x:c>
      <x:c r="B13" s="275" t="str">
        <x:v>DE40 3007 0024 0490 4389 00</x:v>
      </x:c>
      <x:c r="C13" s="246"/>
      <x:c r="D13" s="246"/>
      <x:c r="E13" s="246"/>
      <x:c r="F13" s="220"/>
      <x:c r="G13" s="220"/>
      <x:c r="H13" s="220"/>
      <x:c r="I13" s="220"/>
    </x:row>
    <x:row r="14">
      <x:c r="A14" s="249" t="str">
        <x:v>BIC</x:v>
      </x:c>
      <x:c r="B14" s="275" t="str">
        <x:v>DEUTDEDBUE</x:v>
      </x:c>
      <x:c r="C14" s="246"/>
      <x:c r="D14" s="246"/>
      <x:c r="E14" s="246"/>
      <x:c r="F14" s="220"/>
      <x:c r="G14" s="220"/>
      <x:c r="H14" s="220"/>
      <x:c r="I14" s="220"/>
    </x:row>
    <x:row r="15">
      <x:c r="A15" s="249" t="str">
        <x:v>Bank</x:v>
      </x:c>
      <x:c r="B15" s="275" t="str">
        <x:v>Deutsche Bank</x:v>
      </x:c>
      <x:c r="C15" s="246"/>
      <x:c r="D15" s="246"/>
      <x:c r="E15" s="246"/>
      <x:c r="F15" s="220"/>
      <x:c r="G15" s="220"/>
      <x:c r="H15" s="220"/>
      <x:c r="I15" s="220"/>
    </x:row>
    <x:row r="16">
      <x:c r="A16" s="249" t="str">
        <x:v>Zahlungsziel in Tagen</x:v>
      </x:c>
      <x:c r="B16" s="250" t="n">
        <x:v>14</x:v>
      </x:c>
      <x:c r="C16" s="246"/>
      <x:c r="D16" s="246"/>
      <x:c r="E16" s="246"/>
      <x:c r="F16" s="220"/>
      <x:c r="G16" s="220"/>
      <x:c r="H16" s="220"/>
      <x:c r="I16" s="220"/>
    </x:row>
    <x:row r="17">
      <x:c r="A17" s="249" t="str">
        <x:v>Rechnungsnummer-Präfix</x:v>
      </x:c>
      <x:c r="B17" s="250" t="str">
        <x:v>PAM</x:v>
      </x:c>
      <x:c r="C17" s="246"/>
      <x:c r="D17" s="246"/>
      <x:c r="E17" s="246"/>
      <x:c r="F17" s="220"/>
      <x:c r="G17" s="220"/>
      <x:c r="H17" s="220"/>
      <x:c r="I17" s="220"/>
    </x:row>
    <x:row r="18">
      <x:c r="A18" s="246"/>
      <x:c r="B18" s="246"/>
      <x:c r="C18" s="246"/>
      <x:c r="D18" s="246"/>
      <x:c r="E18" s="246"/>
      <x:c r="F18" s="220"/>
      <x:c r="G18" s="220"/>
      <x:c r="H18" s="220"/>
      <x:c r="I18" s="220"/>
    </x:row>
    <x:row r="19">
      <x:c r="A19" s="253" t="str">
        <x:v>Hinweis: Gelbe Felder sind Eingabefelder. Rote Felder müssen vor der ersten echten Rechnung ergänzt werden.</x:v>
      </x:c>
      <x:c r="B19" s="253"/>
      <x:c r="C19" s="253"/>
      <x:c r="D19" s="253"/>
      <x:c r="E19" s="253"/>
      <x:c r="F19" s="220"/>
      <x:c r="G19" s="220"/>
      <x:c r="H19" s="220"/>
      <x:c r="I19" s="220"/>
    </x:row>
    <x:row r="20">
      <x:c r="A20" s="246"/>
      <x:c r="B20" s="246"/>
      <x:c r="C20" s="246"/>
      <x:c r="D20" s="246"/>
      <x:c r="E20" s="246"/>
      <x:c r="F20" s="220"/>
      <x:c r="G20" s="220"/>
      <x:c r="H20" s="220"/>
      <x:c r="I20" s="220"/>
    </x:row>
    <x:row r="21">
      <x:c r="A21" s="64" t="str">
        <x:v>Quelle</x:v>
      </x:c>
      <x:c r="B21" s="64" t="str">
        <x:v>URL</x:v>
      </x:c>
      <x:c r="C21" s="246"/>
      <x:c r="D21" s="246"/>
      <x:c r="E21" s="246"/>
      <x:c r="F21" s="220"/>
      <x:c r="G21" s="220"/>
      <x:c r="H21" s="220"/>
      <x:c r="I21" s="220"/>
    </x:row>
    <x:row r="22">
      <x:c r="A22" s="246" t="str">
        <x:v>Website / Kontaktdaten</x:v>
      </x:c>
      <x:c r="B22" s="246" t="str">
        <x:v>https://pam-pizzeria-am-medienhafen.de/</x:v>
      </x:c>
      <x:c r="C22" s="246"/>
      <x:c r="D22" s="246"/>
      <x:c r="E22" s="246"/>
      <x:c r="F22" s="220"/>
      <x:c r="G22" s="220"/>
      <x:c r="H22" s="220"/>
      <x:c r="I22" s="220"/>
    </x:row>
    <x:row r="23">
      <x:c r="A23" s="246" t="str">
        <x:v>Rechnungspflichtangaben</x:v>
      </x:c>
      <x:c r="B23" s="246" t="str">
        <x:v>https://www.gesetze-im-internet.de/ustg_1980/__14.html</x:v>
      </x:c>
      <x:c r="C23" s="246"/>
      <x:c r="D23" s="246"/>
      <x:c r="E23" s="246"/>
      <x:c r="F23" s="220"/>
      <x:c r="G23" s="220"/>
      <x:c r="H23" s="220"/>
      <x:c r="I23" s="220"/>
    </x:row>
    <x:row r="24">
      <x:c r="A24" s="246" t="str">
        <x:v>E-Rechnung FAQ</x:v>
      </x:c>
      <x:c r="B24" s="246" t="str">
        <x:v>https://www.bundesfinanzministerium.de/Content/DE/FAQ/e-rechnung.html</x:v>
      </x:c>
      <x:c r="C24" s="246"/>
      <x:c r="D24" s="246"/>
      <x:c r="E24" s="246"/>
      <x:c r="F24" s="220"/>
      <x:c r="G24" s="220"/>
      <x:c r="H24" s="220"/>
      <x:c r="I24" s="220"/>
    </x:row>
    <x:row r="25">
      <x:c r="A25" s="220"/>
      <x:c r="B25" s="220"/>
      <x:c r="C25" s="220"/>
      <x:c r="D25" s="220"/>
      <x:c r="E25" s="220"/>
      <x:c r="F25" s="220"/>
      <x:c r="G25" s="220"/>
      <x:c r="H25" s="220"/>
      <x:c r="I25" s="220"/>
    </x:row>
    <x:row r="26">
      <x:c r="A26" s="220"/>
      <x:c r="B26" s="220"/>
      <x:c r="C26" s="220"/>
      <x:c r="D26" s="220"/>
      <x:c r="E26" s="220"/>
      <x:c r="F26" s="220"/>
      <x:c r="G26" s="220"/>
      <x:c r="H26" s="220"/>
      <x:c r="I26" s="220"/>
    </x:row>
    <x:row r="27">
      <x:c r="A27" s="220"/>
      <x:c r="B27" s="220"/>
      <x:c r="C27" s="220"/>
      <x:c r="D27" s="220"/>
      <x:c r="E27" s="220"/>
      <x:c r="F27" s="220"/>
      <x:c r="G27" s="220"/>
      <x:c r="H27" s="220"/>
      <x:c r="I27" s="220"/>
    </x:row>
    <x:row r="28">
      <x:c r="A28" s="220"/>
      <x:c r="B28" s="220"/>
      <x:c r="C28" s="220"/>
      <x:c r="D28" s="220"/>
      <x:c r="E28" s="220"/>
      <x:c r="F28" s="220"/>
      <x:c r="G28" s="220"/>
      <x:c r="H28" s="220"/>
      <x:c r="I28" s="220"/>
    </x:row>
    <x:row r="29">
      <x:c r="A29" s="220"/>
      <x:c r="B29" s="220"/>
      <x:c r="C29" s="220"/>
      <x:c r="D29" s="220"/>
      <x:c r="E29" s="220"/>
      <x:c r="F29" s="220"/>
      <x:c r="G29" s="220"/>
      <x:c r="H29" s="220"/>
      <x:c r="I29" s="220"/>
    </x:row>
    <x:row r="30">
      <x:c r="A30" s="220"/>
      <x:c r="B30" s="220"/>
      <x:c r="C30" s="220"/>
      <x:c r="D30" s="220"/>
      <x:c r="E30" s="220"/>
      <x:c r="F30" s="220"/>
      <x:c r="G30" s="220"/>
      <x:c r="H30" s="220"/>
      <x:c r="I30" s="220"/>
    </x:row>
    <x:row r="31">
      <x:c r="A31" s="220"/>
      <x:c r="B31" s="220"/>
      <x:c r="C31" s="220"/>
      <x:c r="D31" s="220"/>
      <x:c r="E31" s="220"/>
      <x:c r="F31" s="220"/>
      <x:c r="G31" s="220"/>
      <x:c r="H31" s="220"/>
      <x:c r="I31" s="220"/>
    </x:row>
    <x:row r="32">
      <x:c r="A32" s="220"/>
      <x:c r="B32" s="220"/>
      <x:c r="C32" s="220"/>
      <x:c r="D32" s="220"/>
      <x:c r="E32" s="220"/>
      <x:c r="F32" s="220"/>
      <x:c r="G32" s="220"/>
      <x:c r="H32" s="220"/>
      <x:c r="I32" s="220"/>
    </x:row>
    <x:row r="33">
      <x:c r="A33" s="220"/>
      <x:c r="B33" s="220"/>
      <x:c r="C33" s="220"/>
      <x:c r="D33" s="220"/>
      <x:c r="E33" s="220"/>
      <x:c r="F33" s="220"/>
      <x:c r="G33" s="220"/>
      <x:c r="H33" s="220"/>
      <x:c r="I33" s="220"/>
    </x:row>
    <x:row r="34">
      <x:c r="A34" s="220"/>
      <x:c r="B34" s="220"/>
      <x:c r="C34" s="220"/>
      <x:c r="D34" s="220"/>
      <x:c r="E34" s="220"/>
      <x:c r="F34" s="220"/>
      <x:c r="G34" s="220"/>
      <x:c r="H34" s="220"/>
      <x:c r="I34" s="220"/>
    </x:row>
    <x:row r="35">
      <x:c r="A35" s="220"/>
      <x:c r="B35" s="220"/>
      <x:c r="C35" s="220"/>
      <x:c r="D35" s="220"/>
      <x:c r="E35" s="220"/>
      <x:c r="F35" s="220"/>
      <x:c r="G35" s="220"/>
      <x:c r="H35" s="220"/>
      <x:c r="I35" s="220"/>
    </x:row>
    <x:row r="36">
      <x:c r="A36" s="220"/>
      <x:c r="B36" s="220"/>
      <x:c r="C36" s="220"/>
      <x:c r="D36" s="220"/>
      <x:c r="E36" s="220"/>
      <x:c r="F36" s="220"/>
      <x:c r="G36" s="220"/>
      <x:c r="H36" s="220"/>
      <x:c r="I36" s="220"/>
    </x:row>
    <x:row r="37">
      <x:c r="A37" s="220"/>
      <x:c r="B37" s="220"/>
      <x:c r="C37" s="220"/>
      <x:c r="D37" s="220"/>
      <x:c r="E37" s="220"/>
      <x:c r="F37" s="220"/>
      <x:c r="G37" s="220"/>
      <x:c r="H37" s="220"/>
      <x:c r="I37" s="220"/>
    </x:row>
    <x:row r="38">
      <x:c r="A38" s="220"/>
      <x:c r="B38" s="220"/>
      <x:c r="C38" s="220"/>
      <x:c r="D38" s="220"/>
      <x:c r="E38" s="220"/>
      <x:c r="F38" s="220"/>
      <x:c r="G38" s="220"/>
      <x:c r="H38" s="220"/>
      <x:c r="I38" s="220"/>
    </x:row>
    <x:row r="39">
      <x:c r="A39" s="220"/>
      <x:c r="B39" s="220"/>
      <x:c r="C39" s="220"/>
      <x:c r="D39" s="220"/>
      <x:c r="E39" s="220"/>
      <x:c r="F39" s="220"/>
      <x:c r="G39" s="220"/>
      <x:c r="H39" s="220"/>
      <x:c r="I39" s="220"/>
    </x:row>
    <x:row r="40">
      <x:c r="A40" s="220"/>
      <x:c r="B40" s="220"/>
      <x:c r="C40" s="220"/>
      <x:c r="D40" s="220"/>
      <x:c r="E40" s="220"/>
      <x:c r="F40" s="220"/>
      <x:c r="G40" s="220"/>
      <x:c r="H40" s="220"/>
      <x:c r="I40" s="220"/>
    </x:row>
    <x:row r="41">
      <x:c r="A41" s="220"/>
      <x:c r="B41" s="220"/>
      <x:c r="C41" s="220"/>
      <x:c r="D41" s="220"/>
      <x:c r="E41" s="220"/>
      <x:c r="F41" s="220"/>
      <x:c r="G41" s="220"/>
      <x:c r="H41" s="220"/>
      <x:c r="I41" s="220"/>
    </x:row>
    <x:row r="42">
      <x:c r="A42" s="220"/>
      <x:c r="B42" s="220"/>
      <x:c r="C42" s="220"/>
      <x:c r="D42" s="220"/>
      <x:c r="E42" s="220"/>
      <x:c r="F42" s="220"/>
      <x:c r="G42" s="220"/>
      <x:c r="H42" s="220"/>
      <x:c r="I42" s="220"/>
    </x:row>
    <x:row r="43">
      <x:c r="A43" s="220"/>
      <x:c r="B43" s="220"/>
      <x:c r="C43" s="220"/>
      <x:c r="D43" s="220"/>
      <x:c r="E43" s="220"/>
      <x:c r="F43" s="220"/>
      <x:c r="G43" s="220"/>
      <x:c r="H43" s="220"/>
      <x:c r="I43" s="220"/>
    </x:row>
    <x:row r="44">
      <x:c r="A44" s="220"/>
      <x:c r="B44" s="220"/>
      <x:c r="C44" s="220"/>
      <x:c r="D44" s="220"/>
      <x:c r="E44" s="220"/>
      <x:c r="F44" s="220"/>
      <x:c r="G44" s="220"/>
      <x:c r="H44" s="220"/>
      <x:c r="I44" s="220"/>
    </x:row>
    <x:row r="45">
      <x:c r="A45" s="220"/>
      <x:c r="B45" s="220"/>
      <x:c r="C45" s="220"/>
      <x:c r="D45" s="220"/>
      <x:c r="E45" s="220"/>
      <x:c r="F45" s="220"/>
      <x:c r="G45" s="220"/>
      <x:c r="H45" s="220"/>
      <x:c r="I45" s="220"/>
    </x:row>
    <x:row r="46">
      <x:c r="A46" s="220"/>
      <x:c r="B46" s="220"/>
      <x:c r="C46" s="220"/>
      <x:c r="D46" s="220"/>
      <x:c r="E46" s="220"/>
      <x:c r="F46" s="220"/>
      <x:c r="G46" s="220"/>
      <x:c r="H46" s="220"/>
      <x:c r="I46" s="220"/>
    </x:row>
    <x:row r="47">
      <x:c r="A47" s="220"/>
      <x:c r="B47" s="220"/>
      <x:c r="C47" s="220"/>
      <x:c r="D47" s="220"/>
      <x:c r="E47" s="220"/>
      <x:c r="F47" s="220"/>
      <x:c r="G47" s="220"/>
      <x:c r="H47" s="220"/>
      <x:c r="I47" s="220"/>
    </x:row>
    <x:row r="48">
      <x:c r="A48" s="220"/>
      <x:c r="B48" s="220"/>
      <x:c r="C48" s="220"/>
      <x:c r="D48" s="220"/>
      <x:c r="E48" s="220"/>
      <x:c r="F48" s="220"/>
      <x:c r="G48" s="220"/>
      <x:c r="H48" s="220"/>
      <x:c r="I48" s="220"/>
    </x:row>
    <x:row r="49">
      <x:c r="A49" s="220"/>
      <x:c r="B49" s="220"/>
      <x:c r="C49" s="220"/>
      <x:c r="D49" s="220"/>
      <x:c r="E49" s="220"/>
      <x:c r="F49" s="220"/>
      <x:c r="G49" s="220"/>
      <x:c r="H49" s="220"/>
      <x:c r="I49" s="220"/>
    </x:row>
    <x:row r="50">
      <x:c r="A50" s="220"/>
      <x:c r="B50" s="220"/>
      <x:c r="C50" s="220"/>
      <x:c r="D50" s="220"/>
      <x:c r="E50" s="220"/>
      <x:c r="F50" s="220"/>
      <x:c r="G50" s="220"/>
      <x:c r="H50" s="220"/>
      <x:c r="I50" s="220"/>
    </x:row>
    <x:row r="51">
      <x:c r="A51" s="220"/>
      <x:c r="B51" s="220"/>
      <x:c r="C51" s="220"/>
      <x:c r="D51" s="220"/>
      <x:c r="E51" s="220"/>
      <x:c r="F51" s="220"/>
      <x:c r="G51" s="220"/>
      <x:c r="H51" s="220"/>
      <x:c r="I51" s="220"/>
    </x:row>
    <x:row r="52">
      <x:c r="A52" s="220"/>
      <x:c r="B52" s="220"/>
      <x:c r="C52" s="220"/>
      <x:c r="D52" s="220"/>
      <x:c r="E52" s="220"/>
      <x:c r="F52" s="220"/>
      <x:c r="G52" s="220"/>
      <x:c r="H52" s="220"/>
      <x:c r="I52" s="220"/>
    </x:row>
    <x:row r="53">
      <x:c r="A53" s="220"/>
      <x:c r="B53" s="220"/>
      <x:c r="C53" s="220"/>
      <x:c r="D53" s="220"/>
      <x:c r="E53" s="220"/>
      <x:c r="F53" s="220"/>
      <x:c r="G53" s="220"/>
      <x:c r="H53" s="220"/>
      <x:c r="I53" s="220"/>
    </x:row>
    <x:row r="54">
      <x:c r="A54" s="220"/>
      <x:c r="B54" s="220"/>
      <x:c r="C54" s="220"/>
      <x:c r="D54" s="220"/>
      <x:c r="E54" s="220"/>
      <x:c r="F54" s="220"/>
      <x:c r="G54" s="220"/>
      <x:c r="H54" s="220"/>
      <x:c r="I54" s="220"/>
    </x:row>
    <x:row r="55">
      <x:c r="A55" s="220"/>
      <x:c r="B55" s="220"/>
      <x:c r="C55" s="220"/>
      <x:c r="D55" s="220"/>
      <x:c r="E55" s="220"/>
      <x:c r="F55" s="220"/>
      <x:c r="G55" s="220"/>
      <x:c r="H55" s="220"/>
      <x:c r="I55" s="220"/>
    </x:row>
    <x:row r="56">
      <x:c r="A56" s="220"/>
      <x:c r="B56" s="220"/>
      <x:c r="C56" s="220"/>
      <x:c r="D56" s="220"/>
      <x:c r="E56" s="220"/>
      <x:c r="F56" s="220"/>
      <x:c r="G56" s="220"/>
      <x:c r="H56" s="220"/>
      <x:c r="I56" s="220"/>
    </x:row>
    <x:row r="57">
      <x:c r="A57" s="220"/>
      <x:c r="B57" s="220"/>
      <x:c r="C57" s="220"/>
      <x:c r="D57" s="220"/>
      <x:c r="E57" s="220"/>
      <x:c r="F57" s="220"/>
      <x:c r="G57" s="220"/>
      <x:c r="H57" s="220"/>
      <x:c r="I57" s="220"/>
    </x:row>
    <x:row r="58">
      <x:c r="A58" s="220"/>
      <x:c r="B58" s="220"/>
      <x:c r="C58" s="220"/>
      <x:c r="D58" s="220"/>
      <x:c r="E58" s="220"/>
      <x:c r="F58" s="220"/>
      <x:c r="G58" s="220"/>
      <x:c r="H58" s="220"/>
      <x:c r="I58" s="220"/>
    </x:row>
    <x:row r="59">
      <x:c r="A59" s="220"/>
      <x:c r="B59" s="220"/>
      <x:c r="C59" s="220"/>
      <x:c r="D59" s="220"/>
      <x:c r="E59" s="220"/>
      <x:c r="F59" s="220"/>
      <x:c r="G59" s="220"/>
      <x:c r="H59" s="220"/>
      <x:c r="I59" s="220"/>
    </x:row>
    <x:row r="60">
      <x:c r="A60" s="220"/>
      <x:c r="B60" s="220"/>
      <x:c r="C60" s="220"/>
      <x:c r="D60" s="220"/>
      <x:c r="E60" s="220"/>
      <x:c r="F60" s="220"/>
      <x:c r="G60" s="220"/>
      <x:c r="H60" s="220"/>
      <x:c r="I60" s="220"/>
    </x:row>
  </x:sheetData>
  <x:mergeCells>
    <x:mergeCell ref="A1:E1"/>
    <x:mergeCell ref="A19:E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25" hidden="0" customWidth="1"/>
    <x:col min="5" max="5" width="10" hidden="0" customWidth="1"/>
    <x:col min="6" max="6" width="18" hidden="0" customWidth="1"/>
    <x:col min="7" max="7" width="16" hidden="0" customWidth="1"/>
    <x:col min="8" max="8" width="31" hidden="0" customWidth="1"/>
  </x:cols>
  <x:sheetData>
    <x:row r="1" ht="22" customHeight="1">
      <x:c r="A1" s="262" t="str">
        <x:v>Kundennr.</x:v>
      </x:c>
      <x:c r="B1" s="262" t="str">
        <x:v>Firma / Name</x:v>
      </x:c>
      <x:c r="C1" s="262" t="str">
        <x:v>Ansprechpartner</x:v>
      </x:c>
      <x:c r="D1" s="262" t="str">
        <x:v>Straße</x:v>
      </x:c>
      <x:c r="E1" s="262" t="str">
        <x:v>PLZ</x:v>
      </x:c>
      <x:c r="F1" s="262" t="str">
        <x:v>Ort</x:v>
      </x:c>
      <x:c r="G1" s="262" t="str">
        <x:v>Land</x:v>
      </x:c>
      <x:c r="H1" s="262" t="str">
        <x:v>E-Mail</x:v>
      </x:c>
      <x:c r="I1" s="220"/>
    </x:row>
    <x:row r="2" ht="22" customHeight="1">
      <x:c r="A2" s="250" t="str">
        <x:v>K0001</x:v>
      </x:c>
      <x:c r="B2" s="250" t="str">
        <x:v>Musterfirma GmbH</x:v>
      </x:c>
      <x:c r="C2" s="250" t="str">
        <x:v>Max Mustermann</x:v>
      </x:c>
      <x:c r="D2" s="250" t="str">
        <x:v>Musterstraße 1</x:v>
      </x:c>
      <x:c r="E2" s="250" t="str">
        <x:v>40210</x:v>
      </x:c>
      <x:c r="F2" s="250" t="str">
        <x:v>Düsseldorf</x:v>
      </x:c>
      <x:c r="G2" s="250" t="str">
        <x:v>Deutschland</x:v>
      </x:c>
      <x:c r="H2" s="250" t="str">
        <x:v>rechnung@musterfirma.de</x:v>
      </x:c>
      <x:c r="I2" s="220"/>
    </x:row>
    <x:row r="3" ht="22" customHeight="1">
      <x:c r="A3" s="250" t="str">
        <x:v>K0002</x:v>
      </x:c>
      <x:c r="B3" s="250" t="str">
        <x:v>Beispiel Eventagentur</x:v>
      </x:c>
      <x:c r="C3" s="250" t="str">
        <x:v>Erika Beispiel</x:v>
      </x:c>
      <x:c r="D3" s="250" t="str">
        <x:v>Hafenweg 22</x:v>
      </x:c>
      <x:c r="E3" s="250" t="str">
        <x:v>40221</x:v>
      </x:c>
      <x:c r="F3" s="250" t="str">
        <x:v>Düsseldorf</x:v>
      </x:c>
      <x:c r="G3" s="250" t="str">
        <x:v>Deutschland</x:v>
      </x:c>
      <x:c r="H3" s="250" t="str">
        <x:v>buchhaltung@beispiel-event.de</x:v>
      </x:c>
      <x:c r="I3" s="220"/>
    </x:row>
    <x:row r="4" ht="22" customHeight="1">
      <x:c r="A4" s="250" t="str">
        <x:v>K0003</x:v>
      </x:c>
      <x:c r="B4" s="250" t="str">
        <x:v>Privatkunde Beispiel</x:v>
      </x:c>
      <x:c r="C4" s="250" t="str"/>
      <x:c r="D4" s="250" t="str">
        <x:v>Beispielweg 3</x:v>
      </x:c>
      <x:c r="E4" s="250" t="str">
        <x:v>40213</x:v>
      </x:c>
      <x:c r="F4" s="250" t="str">
        <x:v>Düsseldorf</x:v>
      </x:c>
      <x:c r="G4" s="250" t="str">
        <x:v>Deutschland</x:v>
      </x:c>
      <x:c r="H4" s="250" t="str">
        <x:v>privat@example.de</x:v>
      </x:c>
      <x:c r="I4" s="220"/>
    </x:row>
    <x:row r="5" ht="22" customHeight="1">
      <x:c r="A5" s="250" t="str"/>
      <x:c r="B5" s="250" t="str"/>
      <x:c r="C5" s="250" t="str"/>
      <x:c r="D5" s="250" t="str"/>
      <x:c r="E5" s="250" t="str"/>
      <x:c r="F5" s="250" t="str"/>
      <x:c r="G5" s="250" t="str"/>
      <x:c r="H5" s="250" t="str"/>
      <x:c r="I5" s="220"/>
    </x:row>
    <x:row r="6">
      <x:c r="A6" s="250"/>
      <x:c r="B6" s="250"/>
      <x:c r="C6" s="250"/>
      <x:c r="D6" s="250"/>
      <x:c r="E6" s="250"/>
      <x:c r="F6" s="250"/>
      <x:c r="G6" s="250"/>
      <x:c r="H6" s="250"/>
      <x:c r="I6" s="220"/>
    </x:row>
    <x:row r="7">
      <x:c r="A7" s="250"/>
      <x:c r="B7" s="250"/>
      <x:c r="C7" s="250"/>
      <x:c r="D7" s="250"/>
      <x:c r="E7" s="250"/>
      <x:c r="F7" s="250"/>
      <x:c r="G7" s="250"/>
      <x:c r="H7" s="250"/>
      <x:c r="I7" s="220"/>
    </x:row>
    <x:row r="8">
      <x:c r="A8" s="250"/>
      <x:c r="B8" s="250"/>
      <x:c r="C8" s="250"/>
      <x:c r="D8" s="250"/>
      <x:c r="E8" s="250"/>
      <x:c r="F8" s="250"/>
      <x:c r="G8" s="250"/>
      <x:c r="H8" s="250"/>
      <x:c r="I8" s="220"/>
    </x:row>
    <x:row r="9">
      <x:c r="A9" s="250"/>
      <x:c r="B9" s="250"/>
      <x:c r="C9" s="250"/>
      <x:c r="D9" s="250"/>
      <x:c r="E9" s="250"/>
      <x:c r="F9" s="250"/>
      <x:c r="G9" s="250"/>
      <x:c r="H9" s="250"/>
      <x:c r="I9" s="220"/>
    </x:row>
    <x:row r="10">
      <x:c r="A10" s="250"/>
      <x:c r="B10" s="250"/>
      <x:c r="C10" s="250"/>
      <x:c r="D10" s="250"/>
      <x:c r="E10" s="250"/>
      <x:c r="F10" s="250"/>
      <x:c r="G10" s="250"/>
      <x:c r="H10" s="250"/>
      <x:c r="I10" s="220"/>
    </x:row>
    <x:row r="11">
      <x:c r="A11" s="250"/>
      <x:c r="B11" s="250"/>
      <x:c r="C11" s="250"/>
      <x:c r="D11" s="250"/>
      <x:c r="E11" s="250"/>
      <x:c r="F11" s="250"/>
      <x:c r="G11" s="250"/>
      <x:c r="H11" s="250"/>
      <x:c r="I11" s="220"/>
    </x:row>
    <x:row r="12">
      <x:c r="A12" s="250"/>
      <x:c r="B12" s="250"/>
      <x:c r="C12" s="250"/>
      <x:c r="D12" s="250"/>
      <x:c r="E12" s="250"/>
      <x:c r="F12" s="250"/>
      <x:c r="G12" s="250"/>
      <x:c r="H12" s="250"/>
      <x:c r="I12" s="220"/>
    </x:row>
    <x:row r="13">
      <x:c r="A13" s="250"/>
      <x:c r="B13" s="250"/>
      <x:c r="C13" s="250"/>
      <x:c r="D13" s="250"/>
      <x:c r="E13" s="250"/>
      <x:c r="F13" s="250"/>
      <x:c r="G13" s="250"/>
      <x:c r="H13" s="250"/>
      <x:c r="I13" s="220"/>
    </x:row>
    <x:row r="14">
      <x:c r="A14" s="250"/>
      <x:c r="B14" s="250"/>
      <x:c r="C14" s="250"/>
      <x:c r="D14" s="250"/>
      <x:c r="E14" s="250"/>
      <x:c r="F14" s="250"/>
      <x:c r="G14" s="250"/>
      <x:c r="H14" s="250"/>
      <x:c r="I14" s="220"/>
    </x:row>
    <x:row r="15">
      <x:c r="A15" s="250"/>
      <x:c r="B15" s="250"/>
      <x:c r="C15" s="250"/>
      <x:c r="D15" s="250"/>
      <x:c r="E15" s="250"/>
      <x:c r="F15" s="250"/>
      <x:c r="G15" s="250"/>
      <x:c r="H15" s="250"/>
      <x:c r="I15" s="220"/>
    </x:row>
    <x:row r="16">
      <x:c r="A16" s="250"/>
      <x:c r="B16" s="250"/>
      <x:c r="C16" s="250"/>
      <x:c r="D16" s="250"/>
      <x:c r="E16" s="250"/>
      <x:c r="F16" s="250"/>
      <x:c r="G16" s="250"/>
      <x:c r="H16" s="250"/>
      <x:c r="I16" s="220"/>
    </x:row>
    <x:row r="17">
      <x:c r="A17" s="250"/>
      <x:c r="B17" s="250"/>
      <x:c r="C17" s="250"/>
      <x:c r="D17" s="250"/>
      <x:c r="E17" s="250"/>
      <x:c r="F17" s="250"/>
      <x:c r="G17" s="250"/>
      <x:c r="H17" s="250"/>
      <x:c r="I17" s="220"/>
    </x:row>
    <x:row r="18">
      <x:c r="A18" s="250"/>
      <x:c r="B18" s="250"/>
      <x:c r="C18" s="250"/>
      <x:c r="D18" s="250"/>
      <x:c r="E18" s="250"/>
      <x:c r="F18" s="250"/>
      <x:c r="G18" s="250"/>
      <x:c r="H18" s="250"/>
      <x:c r="I18" s="220"/>
    </x:row>
    <x:row r="19">
      <x:c r="A19" s="250"/>
      <x:c r="B19" s="250"/>
      <x:c r="C19" s="250"/>
      <x:c r="D19" s="250"/>
      <x:c r="E19" s="250"/>
      <x:c r="F19" s="250"/>
      <x:c r="G19" s="250"/>
      <x:c r="H19" s="250"/>
      <x:c r="I19" s="220"/>
    </x:row>
    <x:row r="20">
      <x:c r="A20" s="250"/>
      <x:c r="B20" s="250"/>
      <x:c r="C20" s="250"/>
      <x:c r="D20" s="250"/>
      <x:c r="E20" s="250"/>
      <x:c r="F20" s="250"/>
      <x:c r="G20" s="250"/>
      <x:c r="H20" s="250"/>
      <x:c r="I20" s="220"/>
    </x:row>
    <x:row r="21">
      <x:c r="A21" s="250"/>
      <x:c r="B21" s="250"/>
      <x:c r="C21" s="250"/>
      <x:c r="D21" s="250"/>
      <x:c r="E21" s="250"/>
      <x:c r="F21" s="250"/>
      <x:c r="G21" s="250"/>
      <x:c r="H21" s="250"/>
      <x:c r="I21" s="220"/>
    </x:row>
    <x:row r="22">
      <x:c r="A22" s="250"/>
      <x:c r="B22" s="250"/>
      <x:c r="C22" s="250"/>
      <x:c r="D22" s="250"/>
      <x:c r="E22" s="250"/>
      <x:c r="F22" s="250"/>
      <x:c r="G22" s="250"/>
      <x:c r="H22" s="250"/>
      <x:c r="I22" s="220"/>
    </x:row>
    <x:row r="23">
      <x:c r="A23" s="250"/>
      <x:c r="B23" s="250"/>
      <x:c r="C23" s="250"/>
      <x:c r="D23" s="250"/>
      <x:c r="E23" s="250"/>
      <x:c r="F23" s="250"/>
      <x:c r="G23" s="250"/>
      <x:c r="H23" s="250"/>
      <x:c r="I23" s="220"/>
    </x:row>
    <x:row r="24">
      <x:c r="A24" s="250"/>
      <x:c r="B24" s="250"/>
      <x:c r="C24" s="250"/>
      <x:c r="D24" s="250"/>
      <x:c r="E24" s="250"/>
      <x:c r="F24" s="250"/>
      <x:c r="G24" s="250"/>
      <x:c r="H24" s="250"/>
      <x:c r="I24" s="220"/>
    </x:row>
    <x:row r="25">
      <x:c r="A25" s="250"/>
      <x:c r="B25" s="250"/>
      <x:c r="C25" s="250"/>
      <x:c r="D25" s="250"/>
      <x:c r="E25" s="250"/>
      <x:c r="F25" s="250"/>
      <x:c r="G25" s="250"/>
      <x:c r="H25" s="250"/>
      <x:c r="I25" s="220"/>
    </x:row>
    <x:row r="26">
      <x:c r="A26" s="250"/>
      <x:c r="B26" s="250"/>
      <x:c r="C26" s="250"/>
      <x:c r="D26" s="250"/>
      <x:c r="E26" s="250"/>
      <x:c r="F26" s="250"/>
      <x:c r="G26" s="250"/>
      <x:c r="H26" s="250"/>
      <x:c r="I26" s="220"/>
    </x:row>
    <x:row r="27">
      <x:c r="A27" s="250"/>
      <x:c r="B27" s="250"/>
      <x:c r="C27" s="250"/>
      <x:c r="D27" s="250"/>
      <x:c r="E27" s="250"/>
      <x:c r="F27" s="250"/>
      <x:c r="G27" s="250"/>
      <x:c r="H27" s="250"/>
      <x:c r="I27" s="220"/>
    </x:row>
    <x:row r="28">
      <x:c r="A28" s="250"/>
      <x:c r="B28" s="250"/>
      <x:c r="C28" s="250"/>
      <x:c r="D28" s="250"/>
      <x:c r="E28" s="250"/>
      <x:c r="F28" s="250"/>
      <x:c r="G28" s="250"/>
      <x:c r="H28" s="250"/>
      <x:c r="I28" s="220"/>
    </x:row>
    <x:row r="29">
      <x:c r="A29" s="250"/>
      <x:c r="B29" s="250"/>
      <x:c r="C29" s="250"/>
      <x:c r="D29" s="250"/>
      <x:c r="E29" s="250"/>
      <x:c r="F29" s="250"/>
      <x:c r="G29" s="250"/>
      <x:c r="H29" s="250"/>
      <x:c r="I29" s="220"/>
    </x:row>
    <x:row r="30">
      <x:c r="A30" s="250"/>
      <x:c r="B30" s="250"/>
      <x:c r="C30" s="250"/>
      <x:c r="D30" s="250"/>
      <x:c r="E30" s="250"/>
      <x:c r="F30" s="250"/>
      <x:c r="G30" s="250"/>
      <x:c r="H30" s="250"/>
      <x:c r="I30" s="220"/>
    </x:row>
    <x:row r="31">
      <x:c r="A31" s="250"/>
      <x:c r="B31" s="250"/>
      <x:c r="C31" s="250"/>
      <x:c r="D31" s="250"/>
      <x:c r="E31" s="250"/>
      <x:c r="F31" s="250"/>
      <x:c r="G31" s="250"/>
      <x:c r="H31" s="250"/>
      <x:c r="I31" s="220"/>
    </x:row>
    <x:row r="32">
      <x:c r="A32" s="250"/>
      <x:c r="B32" s="250"/>
      <x:c r="C32" s="250"/>
      <x:c r="D32" s="250"/>
      <x:c r="E32" s="250"/>
      <x:c r="F32" s="250"/>
      <x:c r="G32" s="250"/>
      <x:c r="H32" s="250"/>
      <x:c r="I32" s="220"/>
    </x:row>
    <x:row r="33">
      <x:c r="A33" s="250"/>
      <x:c r="B33" s="250"/>
      <x:c r="C33" s="250"/>
      <x:c r="D33" s="250"/>
      <x:c r="E33" s="250"/>
      <x:c r="F33" s="250"/>
      <x:c r="G33" s="250"/>
      <x:c r="H33" s="250"/>
      <x:c r="I33" s="220"/>
    </x:row>
    <x:row r="34">
      <x:c r="A34" s="250"/>
      <x:c r="B34" s="250"/>
      <x:c r="C34" s="250"/>
      <x:c r="D34" s="250"/>
      <x:c r="E34" s="250"/>
      <x:c r="F34" s="250"/>
      <x:c r="G34" s="250"/>
      <x:c r="H34" s="250"/>
      <x:c r="I34" s="220"/>
    </x:row>
    <x:row r="35">
      <x:c r="A35" s="250"/>
      <x:c r="B35" s="250"/>
      <x:c r="C35" s="250"/>
      <x:c r="D35" s="250"/>
      <x:c r="E35" s="250"/>
      <x:c r="F35" s="250"/>
      <x:c r="G35" s="250"/>
      <x:c r="H35" s="250"/>
      <x:c r="I35" s="220"/>
    </x:row>
    <x:row r="36">
      <x:c r="A36" s="250"/>
      <x:c r="B36" s="250"/>
      <x:c r="C36" s="250"/>
      <x:c r="D36" s="250"/>
      <x:c r="E36" s="250"/>
      <x:c r="F36" s="250"/>
      <x:c r="G36" s="250"/>
      <x:c r="H36" s="250"/>
      <x:c r="I36" s="220"/>
    </x:row>
    <x:row r="37">
      <x:c r="A37" s="250"/>
      <x:c r="B37" s="250"/>
      <x:c r="C37" s="250"/>
      <x:c r="D37" s="250"/>
      <x:c r="E37" s="250"/>
      <x:c r="F37" s="250"/>
      <x:c r="G37" s="250"/>
      <x:c r="H37" s="250"/>
      <x:c r="I37" s="220"/>
    </x:row>
    <x:row r="38">
      <x:c r="A38" s="250"/>
      <x:c r="B38" s="250"/>
      <x:c r="C38" s="250"/>
      <x:c r="D38" s="250"/>
      <x:c r="E38" s="250"/>
      <x:c r="F38" s="250"/>
      <x:c r="G38" s="250"/>
      <x:c r="H38" s="250"/>
      <x:c r="I38" s="220"/>
    </x:row>
    <x:row r="39">
      <x:c r="A39" s="250"/>
      <x:c r="B39" s="250"/>
      <x:c r="C39" s="250"/>
      <x:c r="D39" s="250"/>
      <x:c r="E39" s="250"/>
      <x:c r="F39" s="250"/>
      <x:c r="G39" s="250"/>
      <x:c r="H39" s="250"/>
      <x:c r="I39" s="220"/>
    </x:row>
    <x:row r="40">
      <x:c r="A40" s="250"/>
      <x:c r="B40" s="250"/>
      <x:c r="C40" s="250"/>
      <x:c r="D40" s="250"/>
      <x:c r="E40" s="250"/>
      <x:c r="F40" s="250"/>
      <x:c r="G40" s="250"/>
      <x:c r="H40" s="250"/>
      <x:c r="I40" s="220"/>
    </x:row>
    <x:row r="41">
      <x:c r="A41" s="250"/>
      <x:c r="B41" s="250"/>
      <x:c r="C41" s="250"/>
      <x:c r="D41" s="250"/>
      <x:c r="E41" s="250"/>
      <x:c r="F41" s="250"/>
      <x:c r="G41" s="250"/>
      <x:c r="H41" s="250"/>
      <x:c r="I41" s="220"/>
    </x:row>
    <x:row r="42">
      <x:c r="A42" s="250"/>
      <x:c r="B42" s="250"/>
      <x:c r="C42" s="250"/>
      <x:c r="D42" s="250"/>
      <x:c r="E42" s="250"/>
      <x:c r="F42" s="250"/>
      <x:c r="G42" s="250"/>
      <x:c r="H42" s="250"/>
      <x:c r="I42" s="220"/>
    </x:row>
    <x:row r="43">
      <x:c r="A43" s="250"/>
      <x:c r="B43" s="250"/>
      <x:c r="C43" s="250"/>
      <x:c r="D43" s="250"/>
      <x:c r="E43" s="250"/>
      <x:c r="F43" s="250"/>
      <x:c r="G43" s="250"/>
      <x:c r="H43" s="250"/>
      <x:c r="I43" s="220"/>
    </x:row>
    <x:row r="44">
      <x:c r="A44" s="250"/>
      <x:c r="B44" s="250"/>
      <x:c r="C44" s="250"/>
      <x:c r="D44" s="250"/>
      <x:c r="E44" s="250"/>
      <x:c r="F44" s="250"/>
      <x:c r="G44" s="250"/>
      <x:c r="H44" s="250"/>
      <x:c r="I44" s="220"/>
    </x:row>
    <x:row r="45">
      <x:c r="A45" s="250"/>
      <x:c r="B45" s="250"/>
      <x:c r="C45" s="250"/>
      <x:c r="D45" s="250"/>
      <x:c r="E45" s="250"/>
      <x:c r="F45" s="250"/>
      <x:c r="G45" s="250"/>
      <x:c r="H45" s="250"/>
      <x:c r="I45" s="220"/>
    </x:row>
    <x:row r="46">
      <x:c r="A46" s="250"/>
      <x:c r="B46" s="250"/>
      <x:c r="C46" s="250"/>
      <x:c r="D46" s="250"/>
      <x:c r="E46" s="250"/>
      <x:c r="F46" s="250"/>
      <x:c r="G46" s="250"/>
      <x:c r="H46" s="250"/>
      <x:c r="I46" s="220"/>
    </x:row>
    <x:row r="47">
      <x:c r="A47" s="250"/>
      <x:c r="B47" s="250"/>
      <x:c r="C47" s="250"/>
      <x:c r="D47" s="250"/>
      <x:c r="E47" s="250"/>
      <x:c r="F47" s="250"/>
      <x:c r="G47" s="250"/>
      <x:c r="H47" s="250"/>
      <x:c r="I47" s="220"/>
    </x:row>
    <x:row r="48">
      <x:c r="A48" s="250"/>
      <x:c r="B48" s="250"/>
      <x:c r="C48" s="250"/>
      <x:c r="D48" s="250"/>
      <x:c r="E48" s="250"/>
      <x:c r="F48" s="250"/>
      <x:c r="G48" s="250"/>
      <x:c r="H48" s="250"/>
      <x:c r="I48" s="220"/>
    </x:row>
    <x:row r="49">
      <x:c r="A49" s="250"/>
      <x:c r="B49" s="250"/>
      <x:c r="C49" s="250"/>
      <x:c r="D49" s="250"/>
      <x:c r="E49" s="250"/>
      <x:c r="F49" s="250"/>
      <x:c r="G49" s="250"/>
      <x:c r="H49" s="250"/>
      <x:c r="I49" s="220"/>
    </x:row>
    <x:row r="50">
      <x:c r="A50" s="250"/>
      <x:c r="B50" s="250"/>
      <x:c r="C50" s="250"/>
      <x:c r="D50" s="250"/>
      <x:c r="E50" s="250"/>
      <x:c r="F50" s="250"/>
      <x:c r="G50" s="250"/>
      <x:c r="H50" s="250"/>
      <x:c r="I50" s="220"/>
    </x:row>
    <x:row r="51">
      <x:c r="A51" s="250"/>
      <x:c r="B51" s="250"/>
      <x:c r="C51" s="250"/>
      <x:c r="D51" s="250"/>
      <x:c r="E51" s="250"/>
      <x:c r="F51" s="250"/>
      <x:c r="G51" s="250"/>
      <x:c r="H51" s="250"/>
      <x:c r="I51" s="220"/>
    </x:row>
    <x:row r="52">
      <x:c r="A52" s="250"/>
      <x:c r="B52" s="250"/>
      <x:c r="C52" s="250"/>
      <x:c r="D52" s="250"/>
      <x:c r="E52" s="250"/>
      <x:c r="F52" s="250"/>
      <x:c r="G52" s="250"/>
      <x:c r="H52" s="250"/>
      <x:c r="I52" s="220"/>
    </x:row>
    <x:row r="53">
      <x:c r="A53" s="250"/>
      <x:c r="B53" s="250"/>
      <x:c r="C53" s="250"/>
      <x:c r="D53" s="250"/>
      <x:c r="E53" s="250"/>
      <x:c r="F53" s="250"/>
      <x:c r="G53" s="250"/>
      <x:c r="H53" s="250"/>
      <x:c r="I53" s="220"/>
    </x:row>
    <x:row r="54">
      <x:c r="A54" s="250"/>
      <x:c r="B54" s="250"/>
      <x:c r="C54" s="250"/>
      <x:c r="D54" s="250"/>
      <x:c r="E54" s="250"/>
      <x:c r="F54" s="250"/>
      <x:c r="G54" s="250"/>
      <x:c r="H54" s="250"/>
      <x:c r="I54" s="220"/>
    </x:row>
    <x:row r="55">
      <x:c r="A55" s="250"/>
      <x:c r="B55" s="250"/>
      <x:c r="C55" s="250"/>
      <x:c r="D55" s="250"/>
      <x:c r="E55" s="250"/>
      <x:c r="F55" s="250"/>
      <x:c r="G55" s="250"/>
      <x:c r="H55" s="250"/>
      <x:c r="I55" s="220"/>
    </x:row>
    <x:row r="56">
      <x:c r="A56" s="250"/>
      <x:c r="B56" s="250"/>
      <x:c r="C56" s="250"/>
      <x:c r="D56" s="250"/>
      <x:c r="E56" s="250"/>
      <x:c r="F56" s="250"/>
      <x:c r="G56" s="250"/>
      <x:c r="H56" s="250"/>
      <x:c r="I56" s="220"/>
    </x:row>
    <x:row r="57">
      <x:c r="A57" s="250"/>
      <x:c r="B57" s="250"/>
      <x:c r="C57" s="250"/>
      <x:c r="D57" s="250"/>
      <x:c r="E57" s="250"/>
      <x:c r="F57" s="250"/>
      <x:c r="G57" s="250"/>
      <x:c r="H57" s="250"/>
      <x:c r="I57" s="220"/>
    </x:row>
    <x:row r="58">
      <x:c r="A58" s="250"/>
      <x:c r="B58" s="250"/>
      <x:c r="C58" s="250"/>
      <x:c r="D58" s="250"/>
      <x:c r="E58" s="250"/>
      <x:c r="F58" s="250"/>
      <x:c r="G58" s="250"/>
      <x:c r="H58" s="250"/>
      <x:c r="I58" s="220"/>
    </x:row>
    <x:row r="59">
      <x:c r="A59" s="250"/>
      <x:c r="B59" s="250"/>
      <x:c r="C59" s="250"/>
      <x:c r="D59" s="250"/>
      <x:c r="E59" s="250"/>
      <x:c r="F59" s="250"/>
      <x:c r="G59" s="250"/>
      <x:c r="H59" s="250"/>
      <x:c r="I59" s="220"/>
    </x:row>
    <x:row r="60">
      <x:c r="A60" s="250"/>
      <x:c r="B60" s="250"/>
      <x:c r="C60" s="250"/>
      <x:c r="D60" s="250"/>
      <x:c r="E60" s="250"/>
      <x:c r="F60" s="250"/>
      <x:c r="G60" s="250"/>
      <x:c r="H60" s="250"/>
      <x:c r="I60" s="220"/>
    </x:row>
    <x:row r="61">
      <x:c r="A61" s="69"/>
      <x:c r="B61" s="69"/>
      <x:c r="C61" s="69"/>
      <x:c r="D61" s="69"/>
      <x:c r="E61" s="69"/>
      <x:c r="F61" s="69"/>
      <x:c r="G61" s="69"/>
      <x:c r="H61" s="69"/>
    </x:row>
    <x:row r="62">
      <x:c r="A62" s="69"/>
      <x:c r="B62" s="69"/>
      <x:c r="C62" s="69"/>
      <x:c r="D62" s="69"/>
      <x:c r="E62" s="69"/>
      <x:c r="F62" s="69"/>
      <x:c r="G62" s="69"/>
      <x:c r="H62" s="69"/>
    </x:row>
    <x:row r="63">
      <x:c r="A63" s="69"/>
      <x:c r="B63" s="69"/>
      <x:c r="C63" s="69"/>
      <x:c r="D63" s="69"/>
      <x:c r="E63" s="69"/>
      <x:c r="F63" s="69"/>
      <x:c r="G63" s="69"/>
      <x:c r="H63" s="69"/>
    </x:row>
    <x:row r="64">
      <x:c r="A64" s="69"/>
      <x:c r="B64" s="69"/>
      <x:c r="C64" s="69"/>
      <x:c r="D64" s="69"/>
      <x:c r="E64" s="69"/>
      <x:c r="F64" s="69"/>
      <x:c r="G64" s="69"/>
      <x:c r="H64" s="69"/>
    </x:row>
    <x:row r="65">
      <x:c r="A65" s="69"/>
      <x:c r="B65" s="69"/>
      <x:c r="C65" s="69"/>
      <x:c r="D65" s="69"/>
      <x:c r="E65" s="69"/>
      <x:c r="F65" s="69"/>
      <x:c r="G65" s="69"/>
      <x:c r="H65" s="69"/>
    </x:row>
    <x:row r="66">
      <x:c r="A66" s="69"/>
      <x:c r="B66" s="69"/>
      <x:c r="C66" s="69"/>
      <x:c r="D66" s="69"/>
      <x:c r="E66" s="69"/>
      <x:c r="F66" s="69"/>
      <x:c r="G66" s="69"/>
      <x:c r="H66" s="69"/>
    </x:row>
    <x:row r="67">
      <x:c r="A67" s="69"/>
      <x:c r="B67" s="69"/>
      <x:c r="C67" s="69"/>
      <x:c r="D67" s="69"/>
      <x:c r="E67" s="69"/>
      <x:c r="F67" s="69"/>
      <x:c r="G67" s="69"/>
      <x:c r="H67" s="69"/>
    </x:row>
    <x:row r="68">
      <x:c r="A68" s="69"/>
      <x:c r="B68" s="69"/>
      <x:c r="C68" s="69"/>
      <x:c r="D68" s="69"/>
      <x:c r="E68" s="69"/>
      <x:c r="F68" s="69"/>
      <x:c r="G68" s="69"/>
      <x:c r="H68" s="69"/>
    </x:row>
    <x:row r="69">
      <x:c r="A69" s="69"/>
      <x:c r="B69" s="69"/>
      <x:c r="C69" s="69"/>
      <x:c r="D69" s="69"/>
      <x:c r="E69" s="69"/>
      <x:c r="F69" s="69"/>
      <x:c r="G69" s="69"/>
      <x:c r="H69" s="69"/>
    </x:row>
    <x:row r="70">
      <x:c r="A70" s="69"/>
      <x:c r="B70" s="69"/>
      <x:c r="C70" s="69"/>
      <x:c r="D70" s="69"/>
      <x:c r="E70" s="69"/>
      <x:c r="F70" s="69"/>
      <x:c r="G70" s="69"/>
      <x:c r="H70" s="69"/>
    </x:row>
    <x:row r="71">
      <x:c r="A71" s="69"/>
      <x:c r="B71" s="69"/>
      <x:c r="C71" s="69"/>
      <x:c r="D71" s="69"/>
      <x:c r="E71" s="69"/>
      <x:c r="F71" s="69"/>
      <x:c r="G71" s="69"/>
      <x:c r="H71" s="69"/>
    </x:row>
    <x:row r="72">
      <x:c r="A72" s="69"/>
      <x:c r="B72" s="69"/>
      <x:c r="C72" s="69"/>
      <x:c r="D72" s="69"/>
      <x:c r="E72" s="69"/>
      <x:c r="F72" s="69"/>
      <x:c r="G72" s="69"/>
      <x:c r="H72" s="69"/>
    </x:row>
    <x:row r="73">
      <x:c r="A73" s="69"/>
      <x:c r="B73" s="69"/>
      <x:c r="C73" s="69"/>
      <x:c r="D73" s="69"/>
      <x:c r="E73" s="69"/>
      <x:c r="F73" s="69"/>
      <x:c r="G73" s="69"/>
      <x:c r="H73" s="69"/>
    </x:row>
    <x:row r="74">
      <x:c r="A74" s="69"/>
      <x:c r="B74" s="69"/>
      <x:c r="C74" s="69"/>
      <x:c r="D74" s="69"/>
      <x:c r="E74" s="69"/>
      <x:c r="F74" s="69"/>
      <x:c r="G74" s="69"/>
      <x:c r="H74" s="69"/>
    </x:row>
    <x:row r="75">
      <x:c r="A75" s="69"/>
      <x:c r="B75" s="69"/>
      <x:c r="C75" s="69"/>
      <x:c r="D75" s="69"/>
      <x:c r="E75" s="69"/>
      <x:c r="F75" s="69"/>
      <x:c r="G75" s="69"/>
      <x:c r="H75" s="69"/>
    </x:row>
    <x:row r="76">
      <x:c r="A76" s="69"/>
      <x:c r="B76" s="69"/>
      <x:c r="C76" s="69"/>
      <x:c r="D76" s="69"/>
      <x:c r="E76" s="69"/>
      <x:c r="F76" s="69"/>
      <x:c r="G76" s="69"/>
      <x:c r="H76" s="69"/>
    </x:row>
    <x:row r="77">
      <x:c r="A77" s="69"/>
      <x:c r="B77" s="69"/>
      <x:c r="C77" s="69"/>
      <x:c r="D77" s="69"/>
      <x:c r="E77" s="69"/>
      <x:c r="F77" s="69"/>
      <x:c r="G77" s="69"/>
      <x:c r="H77" s="69"/>
    </x:row>
    <x:row r="78">
      <x:c r="A78" s="69"/>
      <x:c r="B78" s="69"/>
      <x:c r="C78" s="69"/>
      <x:c r="D78" s="69"/>
      <x:c r="E78" s="69"/>
      <x:c r="F78" s="69"/>
      <x:c r="G78" s="69"/>
      <x:c r="H78" s="69"/>
    </x:row>
    <x:row r="79">
      <x:c r="A79" s="69"/>
      <x:c r="B79" s="69"/>
      <x:c r="C79" s="69"/>
      <x:c r="D79" s="69"/>
      <x:c r="E79" s="69"/>
      <x:c r="F79" s="69"/>
      <x:c r="G79" s="69"/>
      <x:c r="H79" s="69"/>
    </x:row>
    <x:row r="80">
      <x:c r="A80" s="69"/>
      <x:c r="B80" s="69"/>
      <x:c r="C80" s="69"/>
      <x:c r="D80" s="69"/>
      <x:c r="E80" s="69"/>
      <x:c r="F80" s="69"/>
      <x:c r="G80" s="69"/>
      <x:c r="H80" s="69"/>
    </x:row>
    <x:row r="81">
      <x:c r="A81" s="69"/>
      <x:c r="B81" s="69"/>
      <x:c r="C81" s="69"/>
      <x:c r="D81" s="69"/>
      <x:c r="E81" s="69"/>
      <x:c r="F81" s="69"/>
      <x:c r="G81" s="69"/>
      <x:c r="H81" s="69"/>
    </x:row>
    <x:row r="82">
      <x:c r="A82" s="69"/>
      <x:c r="B82" s="69"/>
      <x:c r="C82" s="69"/>
      <x:c r="D82" s="69"/>
      <x:c r="E82" s="69"/>
      <x:c r="F82" s="69"/>
      <x:c r="G82" s="69"/>
      <x:c r="H82" s="69"/>
    </x:row>
    <x:row r="83">
      <x:c r="A83" s="69"/>
      <x:c r="B83" s="69"/>
      <x:c r="C83" s="69"/>
      <x:c r="D83" s="69"/>
      <x:c r="E83" s="69"/>
      <x:c r="F83" s="69"/>
      <x:c r="G83" s="69"/>
      <x:c r="H83" s="69"/>
    </x:row>
    <x:row r="84">
      <x:c r="A84" s="69"/>
      <x:c r="B84" s="69"/>
      <x:c r="C84" s="69"/>
      <x:c r="D84" s="69"/>
      <x:c r="E84" s="69"/>
      <x:c r="F84" s="69"/>
      <x:c r="G84" s="69"/>
      <x:c r="H84" s="69"/>
    </x:row>
    <x:row r="85">
      <x:c r="A85" s="69"/>
      <x:c r="B85" s="69"/>
      <x:c r="C85" s="69"/>
      <x:c r="D85" s="69"/>
      <x:c r="E85" s="69"/>
      <x:c r="F85" s="69"/>
      <x:c r="G85" s="69"/>
      <x:c r="H85" s="69"/>
    </x:row>
    <x:row r="86">
      <x:c r="A86" s="69"/>
      <x:c r="B86" s="69"/>
      <x:c r="C86" s="69"/>
      <x:c r="D86" s="69"/>
      <x:c r="E86" s="69"/>
      <x:c r="F86" s="69"/>
      <x:c r="G86" s="69"/>
      <x:c r="H86" s="69"/>
    </x:row>
    <x:row r="87">
      <x:c r="A87" s="69"/>
      <x:c r="B87" s="69"/>
      <x:c r="C87" s="69"/>
      <x:c r="D87" s="69"/>
      <x:c r="E87" s="69"/>
      <x:c r="F87" s="69"/>
      <x:c r="G87" s="69"/>
      <x:c r="H87" s="69"/>
    </x:row>
    <x:row r="88">
      <x:c r="A88" s="69"/>
      <x:c r="B88" s="69"/>
      <x:c r="C88" s="69"/>
      <x:c r="D88" s="69"/>
      <x:c r="E88" s="69"/>
      <x:c r="F88" s="69"/>
      <x:c r="G88" s="69"/>
      <x:c r="H88" s="69"/>
    </x:row>
    <x:row r="89">
      <x:c r="A89" s="69"/>
      <x:c r="B89" s="69"/>
      <x:c r="C89" s="69"/>
      <x:c r="D89" s="69"/>
      <x:c r="E89" s="69"/>
      <x:c r="F89" s="69"/>
      <x:c r="G89" s="69"/>
      <x:c r="H89" s="69"/>
    </x:row>
    <x:row r="90">
      <x:c r="A90" s="69"/>
      <x:c r="B90" s="69"/>
      <x:c r="C90" s="69"/>
      <x:c r="D90" s="69"/>
      <x:c r="E90" s="69"/>
      <x:c r="F90" s="69"/>
      <x:c r="G90" s="69"/>
      <x:c r="H90" s="69"/>
    </x:row>
    <x:row r="91">
      <x:c r="A91" s="69"/>
      <x:c r="B91" s="69"/>
      <x:c r="C91" s="69"/>
      <x:c r="D91" s="69"/>
      <x:c r="E91" s="69"/>
      <x:c r="F91" s="69"/>
      <x:c r="G91" s="69"/>
      <x:c r="H91" s="69"/>
    </x:row>
    <x:row r="92">
      <x:c r="A92" s="69"/>
      <x:c r="B92" s="69"/>
      <x:c r="C92" s="69"/>
      <x:c r="D92" s="69"/>
      <x:c r="E92" s="69"/>
      <x:c r="F92" s="69"/>
      <x:c r="G92" s="69"/>
      <x:c r="H92" s="69"/>
    </x:row>
    <x:row r="93">
      <x:c r="A93" s="69"/>
      <x:c r="B93" s="69"/>
      <x:c r="C93" s="69"/>
      <x:c r="D93" s="69"/>
      <x:c r="E93" s="69"/>
      <x:c r="F93" s="69"/>
      <x:c r="G93" s="69"/>
      <x:c r="H93" s="69"/>
    </x:row>
    <x:row r="94">
      <x:c r="A94" s="69"/>
      <x:c r="B94" s="69"/>
      <x:c r="C94" s="69"/>
      <x:c r="D94" s="69"/>
      <x:c r="E94" s="69"/>
      <x:c r="F94" s="69"/>
      <x:c r="G94" s="69"/>
      <x:c r="H94" s="69"/>
    </x:row>
    <x:row r="95">
      <x:c r="A95" s="69"/>
      <x:c r="B95" s="69"/>
      <x:c r="C95" s="69"/>
      <x:c r="D95" s="69"/>
      <x:c r="E95" s="69"/>
      <x:c r="F95" s="69"/>
      <x:c r="G95" s="69"/>
      <x:c r="H95" s="69"/>
    </x:row>
    <x:row r="96">
      <x:c r="A96" s="69"/>
      <x:c r="B96" s="69"/>
      <x:c r="C96" s="69"/>
      <x:c r="D96" s="69"/>
      <x:c r="E96" s="69"/>
      <x:c r="F96" s="69"/>
      <x:c r="G96" s="69"/>
      <x:c r="H96" s="69"/>
    </x:row>
    <x:row r="97">
      <x:c r="A97" s="69"/>
      <x:c r="B97" s="69"/>
      <x:c r="C97" s="69"/>
      <x:c r="D97" s="69"/>
      <x:c r="E97" s="69"/>
      <x:c r="F97" s="69"/>
      <x:c r="G97" s="69"/>
      <x:c r="H97" s="69"/>
    </x:row>
    <x:row r="98">
      <x:c r="A98" s="69"/>
      <x:c r="B98" s="69"/>
      <x:c r="C98" s="69"/>
      <x:c r="D98" s="69"/>
      <x:c r="E98" s="69"/>
      <x:c r="F98" s="69"/>
      <x:c r="G98" s="69"/>
      <x:c r="H98" s="69"/>
    </x:row>
    <x:row r="99">
      <x:c r="A99" s="69"/>
      <x:c r="B99" s="69"/>
      <x:c r="C99" s="69"/>
      <x:c r="D99" s="69"/>
      <x:c r="E99" s="69"/>
      <x:c r="F99" s="69"/>
      <x:c r="G99" s="69"/>
      <x:c r="H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</x:row>
  </x:sheetData>
  <x:pageMargins left="0.7" right="0.7" top="0.75" bottom="0.75" header="0.3" footer="0.3"/>
  <x:tableParts count="1">
    <x:tablePart xmlns:r="http://schemas.openxmlformats.org/officeDocument/2006/relationships" r:id="Rec84dc76efdf46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64" t="str">
        <x:v>Website-Analyse, Nutzung und rechtliche Hinweise</x:v>
      </x:c>
      <x:c r="B1" s="64"/>
      <x:c r="C1" s="4"/>
      <x:c r="D1" s="4"/>
      <x:c r="E1" s="4"/>
      <x:c r="F1" s="4"/>
      <x:c r="G1" s="220"/>
      <x:c r="H1" s="220"/>
      <x:c r="I1" s="220"/>
    </x:row>
    <x:row r="2">
      <x:c r="A2" s="246"/>
      <x:c r="B2" s="246"/>
      <x:c r="C2" s="220"/>
      <x:c r="D2" s="220"/>
      <x:c r="E2" s="220"/>
      <x:c r="F2" s="220"/>
      <x:c r="G2" s="220"/>
      <x:c r="H2" s="220"/>
      <x:c r="I2" s="220"/>
    </x:row>
    <x:row r="3">
      <x:c r="A3" s="264" t="str">
        <x:v>Website-Merkmal</x:v>
      </x:c>
      <x:c r="B3" s="264" t="str">
        <x:v>Übernahme in die Vorlage</x:v>
      </x:c>
      <x:c r="C3" s="220"/>
      <x:c r="D3" s="220"/>
      <x:c r="E3" s="220"/>
      <x:c r="F3" s="220"/>
      <x:c r="G3" s="220"/>
      <x:c r="H3" s="220"/>
      <x:c r="I3" s="220"/>
    </x:row>
    <x:row r="4">
      <x:c r="A4" s="249" t="str">
        <x:v>Markenname</x:v>
      </x:c>
      <x:c r="B4" s="246" t="str">
        <x:v>Pizzeria am Medienhafen</x:v>
      </x:c>
      <x:c r="C4" s="220"/>
      <x:c r="D4" s="220"/>
      <x:c r="E4" s="220"/>
      <x:c r="F4" s="220"/>
      <x:c r="G4" s="220"/>
      <x:c r="H4" s="220"/>
      <x:c r="I4" s="220"/>
    </x:row>
    <x:row r="5">
      <x:c r="A5" s="249" t="str">
        <x:v>Positionierung</x:v>
      </x:c>
      <x:c r="B5" s="246" t="str">
        <x:v>Authentisch italienisch · seit 1998</x:v>
      </x:c>
      <x:c r="C5" s="220"/>
      <x:c r="D5" s="220"/>
      <x:c r="E5" s="220"/>
      <x:c r="F5" s="220"/>
      <x:c r="G5" s="220"/>
      <x:c r="H5" s="220"/>
      <x:c r="I5" s="220"/>
    </x:row>
    <x:row r="6">
      <x:c r="A6" s="249" t="str">
        <x:v>Gestaltung</x:v>
      </x:c>
      <x:c r="B6" s="246" t="str">
        <x:v>Reduzierte Schwarz-/Creme-Optik mit warmer Terrakotta-Akzentfarbe</x:v>
      </x:c>
      <x:c r="C6" s="220"/>
      <x:c r="D6" s="220"/>
      <x:c r="E6" s="220"/>
      <x:c r="F6" s="220"/>
      <x:c r="G6" s="220"/>
      <x:c r="H6" s="220"/>
      <x:c r="I6" s="220"/>
    </x:row>
    <x:row r="7">
      <x:c r="A7" s="249" t="str">
        <x:v>Adresse</x:v>
      </x:c>
      <x:c r="B7" s="246" t="str">
        <x:v>Wupperstraße 14, 40221 Düsseldorf</x:v>
      </x:c>
      <x:c r="C7" s="220"/>
      <x:c r="D7" s="220"/>
      <x:c r="E7" s="220"/>
      <x:c r="F7" s="220"/>
      <x:c r="G7" s="220"/>
      <x:c r="H7" s="220"/>
      <x:c r="I7" s="220"/>
    </x:row>
    <x:row r="8">
      <x:c r="A8" s="249" t="str">
        <x:v>Telefon</x:v>
      </x:c>
      <x:c r="B8" s="246" t="str">
        <x:v>+49 211 30 33 852</x:v>
      </x:c>
      <x:c r="C8" s="220"/>
      <x:c r="D8" s="220"/>
      <x:c r="E8" s="220"/>
      <x:c r="F8" s="220"/>
      <x:c r="G8" s="220"/>
      <x:c r="H8" s="220"/>
      <x:c r="I8" s="220"/>
    </x:row>
    <x:row r="9">
      <x:c r="A9" s="249" t="str">
        <x:v>Fehlende Rechnungsdaten</x:v>
      </x:c>
      <x:c r="B9" s="246" t="str">
        <x:v>Inhaber/Rechtsform, E-Mail, Steuernummer/USt-IdNr. und Bankdaten sind auf der Website nicht konkret angegeben.</x:v>
      </x:c>
      <x:c r="C9" s="220"/>
      <x:c r="D9" s="220"/>
      <x:c r="E9" s="220"/>
      <x:c r="F9" s="220"/>
      <x:c r="G9" s="220"/>
      <x:c r="H9" s="220"/>
      <x:c r="I9" s="220"/>
    </x:row>
    <x:row r="10">
      <x:c r="A10" s="246"/>
      <x:c r="B10" s="246"/>
      <x:c r="C10" s="220"/>
      <x:c r="D10" s="220"/>
      <x:c r="E10" s="220"/>
      <x:c r="F10" s="220"/>
      <x:c r="G10" s="220"/>
      <x:c r="H10" s="220"/>
      <x:c r="I10" s="220"/>
    </x:row>
    <x:row r="11">
      <x:c r="A11" s="64" t="str">
        <x:v>Schnelle Nutzung</x:v>
      </x:c>
      <x:c r="B11" s="64"/>
      <x:c r="C11" s="265"/>
      <x:c r="D11" s="265"/>
      <x:c r="E11" s="265"/>
      <x:c r="F11" s="265"/>
      <x:c r="G11" s="220"/>
      <x:c r="H11" s="220"/>
      <x:c r="I11" s="220"/>
    </x:row>
    <x:row r="12">
      <x:c r="A12" s="247" t="n">
        <x:v>1</x:v>
      </x:c>
      <x:c r="B12" s="206" t="str">
        <x:v>Im Blatt „Stammdaten“ alle rot markierten Felder ergänzen.</x:v>
      </x:c>
      <x:c r="C12" s="220"/>
      <x:c r="D12" s="220"/>
      <x:c r="E12" s="220"/>
      <x:c r="F12" s="220"/>
      <x:c r="G12" s="220"/>
      <x:c r="H12" s="220"/>
      <x:c r="I12" s="220"/>
    </x:row>
    <x:row r="13">
      <x:c r="A13" s="247" t="n">
        <x:v>2</x:v>
      </x:c>
      <x:c r="B13" s="206" t="str">
        <x:v>Im Blatt „Kunden“ Kunden einmalig anlegen.</x:v>
      </x:c>
      <x:c r="C13" s="220"/>
      <x:c r="D13" s="220"/>
      <x:c r="E13" s="220"/>
      <x:c r="F13" s="220"/>
      <x:c r="G13" s="220"/>
      <x:c r="H13" s="220"/>
      <x:c r="I13" s="220"/>
    </x:row>
    <x:row r="14">
      <x:c r="A14" s="247" t="n">
        <x:v>3</x:v>
      </x:c>
      <x:c r="B14" s="206" t="str">
        <x:v>Im Blatt „Rechnung“ Kundennummer auswählen und Rechnungsnummer/Datum eintragen.</x:v>
      </x:c>
      <x:c r="C14" s="220"/>
      <x:c r="D14" s="220"/>
      <x:c r="E14" s="220"/>
      <x:c r="F14" s="220"/>
      <x:c r="G14" s="220"/>
      <x:c r="H14" s="220"/>
      <x:c r="I14" s="220"/>
    </x:row>
    <x:row r="15">
      <x:c r="A15" s="247" t="n">
        <x:v>4</x:v>
      </x:c>
      <x:c r="B15" s="206" t="str">
        <x:v>Positionen mit Menge, Einheit, Bruttopreis und MwSt.-Satz erfassen.</x:v>
      </x:c>
      <x:c r="C15" s="220"/>
      <x:c r="D15" s="220"/>
      <x:c r="E15" s="220"/>
      <x:c r="F15" s="220"/>
      <x:c r="G15" s="220"/>
      <x:c r="H15" s="220"/>
      <x:c r="I15" s="220"/>
    </x:row>
    <x:row r="16">
      <x:c r="A16" s="247" t="n">
        <x:v>5</x:v>
      </x:c>
      <x:c r="B16" s="206" t="str">
        <x:v>Gesamtbeträge prüfen, als PDF exportieren und unveränderbar archivieren.</x:v>
      </x:c>
      <x:c r="C16" s="220"/>
      <x:c r="D16" s="220"/>
      <x:c r="E16" s="220"/>
      <x:c r="F16" s="220"/>
      <x:c r="G16" s="220"/>
      <x:c r="H16" s="220"/>
      <x:c r="I16" s="220"/>
    </x:row>
    <x:row r="17">
      <x:c r="A17" s="247" t="n">
        <x:v>6</x:v>
      </x:c>
      <x:c r="B17" s="206" t="str">
        <x:v>Für jede Rechnung eine neue Dateikopie mit eindeutiger Rechnungsnummer speichern.</x:v>
      </x:c>
      <x:c r="C17" s="220"/>
      <x:c r="D17" s="220"/>
      <x:c r="E17" s="220"/>
      <x:c r="F17" s="220"/>
      <x:c r="G17" s="220"/>
      <x:c r="H17" s="220"/>
      <x:c r="I17" s="220"/>
    </x:row>
    <x:row r="18">
      <x:c r="A18" s="246"/>
      <x:c r="B18" s="246"/>
      <x:c r="C18" s="220"/>
      <x:c r="D18" s="220"/>
      <x:c r="E18" s="220"/>
      <x:c r="F18" s="220"/>
      <x:c r="G18" s="220"/>
      <x:c r="H18" s="220"/>
      <x:c r="I18" s="220"/>
    </x:row>
    <x:row r="19">
      <x:c r="A19" s="64" t="str">
        <x:v>Pflichtangaben und E-Rechnung</x:v>
      </x:c>
      <x:c r="B19" s="64"/>
      <x:c r="C19" s="265"/>
      <x:c r="D19" s="265"/>
      <x:c r="E19" s="265"/>
      <x:c r="F19" s="265"/>
      <x:c r="G19" s="220"/>
      <x:c r="H19" s="220"/>
      <x:c r="I19" s="220"/>
    </x:row>
    <x:row r="20">
      <x:c r="A20" s="264" t="str">
        <x:v>Thema</x:v>
      </x:c>
      <x:c r="B20" s="264" t="str">
        <x:v>Hinweis</x:v>
      </x:c>
      <x:c r="C20" s="220"/>
      <x:c r="D20" s="220"/>
      <x:c r="E20" s="220"/>
      <x:c r="F20" s="220"/>
      <x:c r="G20" s="220"/>
      <x:c r="H20" s="220"/>
      <x:c r="I20" s="220"/>
    </x:row>
    <x:row r="21">
      <x:c r="A21" s="249" t="str">
        <x:v>Pflichtangaben</x:v>
      </x:c>
      <x:c r="B21" s="246" t="str">
        <x:v>Die Vorlage enthält Felder für Aussteller/Empfänger, Rechnungsnummer, Rechnungs- und Leistungsdatum, Leistungsbeschreibung, Entgelte, Steuersätze und Steuerbeträge.</x:v>
      </x:c>
      <x:c r="C21" s="220"/>
      <x:c r="D21" s="220"/>
      <x:c r="E21" s="220"/>
      <x:c r="F21" s="220"/>
      <x:c r="G21" s="220"/>
      <x:c r="H21" s="220"/>
      <x:c r="I21" s="220"/>
    </x:row>
    <x:row r="22">
      <x:c r="A22" s="249" t="str">
        <x:v>Kleinbetragsrechnung</x:v>
      </x:c>
      <x:c r="B22" s="246" t="str">
        <x:v>Bis 250 € brutto gelten vereinfachte Mindestangaben; diese Vorlage kann trotzdem vollständig genutzt werden.</x:v>
      </x:c>
      <x:c r="C22" s="220"/>
      <x:c r="D22" s="220"/>
      <x:c r="E22" s="220"/>
      <x:c r="F22" s="220"/>
      <x:c r="G22" s="220"/>
      <x:c r="H22" s="220"/>
      <x:c r="I22" s="220"/>
    </x:row>
    <x:row r="23">
      <x:c r="A23" s="249" t="str">
        <x:v>Gastronomie 2026</x:v>
      </x:c>
      <x:c r="B23" s="246" t="str">
        <x:v>Seit 01.01.2026 gilt für Speisen in der Gastronomie grundsätzlich 7 % MwSt.; Getränke bleiben grundsätzlich bei 19 %.</x:v>
      </x:c>
      <x:c r="C23" s="220"/>
      <x:c r="D23" s="220"/>
      <x:c r="E23" s="220"/>
      <x:c r="F23" s="220"/>
      <x:c r="G23" s="220"/>
      <x:c r="H23" s="220"/>
      <x:c r="I23" s="220"/>
    </x:row>
    <x:row r="24">
      <x:c r="A24" s="249" t="str">
        <x:v>E-Rechnung</x:v>
      </x:c>
      <x:c r="B24" s="246" t="str">
        <x:v>Eine Excel- oder einfache PDF-Datei ist keine strukturierte E-Rechnung nach EN 16931, sondern eine sonstige Rechnung.</x:v>
      </x:c>
      <x:c r="C24" s="220"/>
      <x:c r="D24" s="220"/>
      <x:c r="E24" s="220"/>
      <x:c r="F24" s="220"/>
      <x:c r="G24" s="220"/>
      <x:c r="H24" s="220"/>
      <x:c r="I24" s="220"/>
    </x:row>
    <x:row r="25">
      <x:c r="A25" s="249" t="str">
        <x:v>Übergang 2026</x:v>
      </x:c>
      <x:c r="B25" s="246" t="str">
        <x:v>Bis 31.12.2026 können Rechnungsaussteller grundsätzlich noch sonstige Rechnungen verwenden. Bei Vorjahresumsatz bis 800.000 € verlängert sich die Übergangsfrist grundsätzlich bis Ende 2027.</x:v>
      </x:c>
      <x:c r="C25" s="220"/>
      <x:c r="D25" s="220"/>
      <x:c r="E25" s="220"/>
      <x:c r="F25" s="220"/>
      <x:c r="G25" s="220"/>
      <x:c r="H25" s="220"/>
      <x:c r="I25" s="220"/>
    </x:row>
    <x:row r="26">
      <x:c r="A26" s="249" t="str">
        <x:v>B2C / Ausnahmen</x:v>
      </x:c>
      <x:c r="B26" s="246" t="str">
        <x:v>Rechnungen an private Endverbraucher sowie bestimmte Kleinbetrags- und Ausnahmefälle sind von der verpflichtenden E-Rechnung ausgenommen.</x:v>
      </x:c>
      <x:c r="C26" s="220"/>
      <x:c r="D26" s="220"/>
      <x:c r="E26" s="220"/>
      <x:c r="F26" s="220"/>
      <x:c r="G26" s="220"/>
      <x:c r="H26" s="220"/>
      <x:c r="I26" s="220"/>
    </x:row>
    <x:row r="27">
      <x:c r="A27" s="249" t="str">
        <x:v>Prüfung</x:v>
      </x:c>
      <x:c r="B27" s="246" t="str">
        <x:v>Vor produktivem Einsatz steuerliche Angaben und die konkrete E-Rechnungspflicht mit Steuerberatung bzw. Buchhaltung abstimmen.</x:v>
      </x:c>
      <x:c r="C27" s="220"/>
      <x:c r="D27" s="220"/>
      <x:c r="E27" s="220"/>
      <x:c r="F27" s="220"/>
      <x:c r="G27" s="220"/>
      <x:c r="H27" s="220"/>
      <x:c r="I27" s="220"/>
    </x:row>
    <x:row r="28">
      <x:c r="A28" s="246"/>
      <x:c r="B28" s="246"/>
      <x:c r="C28" s="220"/>
      <x:c r="D28" s="220"/>
      <x:c r="E28" s="220"/>
      <x:c r="F28" s="220"/>
      <x:c r="G28" s="220"/>
      <x:c r="H28" s="220"/>
      <x:c r="I28" s="220"/>
    </x:row>
    <x:row r="29">
      <x:c r="A29" s="64" t="str">
        <x:v>Quelle</x:v>
      </x:c>
      <x:c r="B29" s="64" t="str">
        <x:v>URL</x:v>
      </x:c>
      <x:c r="C29" s="220"/>
      <x:c r="D29" s="220"/>
      <x:c r="E29" s="220"/>
      <x:c r="F29" s="220"/>
      <x:c r="G29" s="220"/>
      <x:c r="H29" s="220"/>
      <x:c r="I29" s="220"/>
    </x:row>
    <x:row r="30">
      <x:c r="A30" s="246" t="str">
        <x:v>Website</x:v>
      </x:c>
      <x:c r="B30" s="246" t="str">
        <x:v>https://pam-pizzeria-am-medienhafen.de/</x:v>
      </x:c>
      <x:c r="C30" s="220"/>
      <x:c r="D30" s="220"/>
      <x:c r="E30" s="220"/>
      <x:c r="F30" s="220"/>
      <x:c r="G30" s="220"/>
      <x:c r="H30" s="220"/>
      <x:c r="I30" s="220"/>
    </x:row>
    <x:row r="31">
      <x:c r="A31" s="246" t="str">
        <x:v>§ 14 UStG</x:v>
      </x:c>
      <x:c r="B31" s="246" t="str">
        <x:v>https://www.gesetze-im-internet.de/ustg_1980/__14.html</x:v>
      </x:c>
      <x:c r="C31" s="220"/>
      <x:c r="D31" s="220"/>
      <x:c r="E31" s="220"/>
      <x:c r="F31" s="220"/>
      <x:c r="G31" s="220"/>
      <x:c r="H31" s="220"/>
      <x:c r="I31" s="220"/>
    </x:row>
    <x:row r="32">
      <x:c r="A32" s="246" t="str">
        <x:v>§ 33 UStDV (Kleinbeträge)</x:v>
      </x:c>
      <x:c r="B32" s="246" t="str">
        <x:v>https://www.gesetze-im-internet.de/ustdv_1980/__33.html</x:v>
      </x:c>
      <x:c r="C32" s="220"/>
      <x:c r="D32" s="220"/>
      <x:c r="E32" s="220"/>
      <x:c r="F32" s="220"/>
      <x:c r="G32" s="220"/>
      <x:c r="H32" s="220"/>
      <x:c r="I32" s="220"/>
    </x:row>
    <x:row r="33">
      <x:c r="A33" s="246" t="str">
        <x:v>BMF FAQ E-Rechnung (Stand März 2026)</x:v>
      </x:c>
      <x:c r="B33" s="246" t="str">
        <x:v>https://www.bundesfinanzministerium.de/Content/DE/FAQ/e-rechnung.html</x:v>
      </x:c>
      <x:c r="C33" s="220"/>
      <x:c r="D33" s="220"/>
      <x:c r="E33" s="220"/>
      <x:c r="F33" s="220"/>
      <x:c r="G33" s="220"/>
      <x:c r="H33" s="220"/>
      <x:c r="I33" s="220"/>
    </x:row>
    <x:row r="34">
      <x:c r="A34" s="220"/>
      <x:c r="B34" s="220"/>
      <x:c r="C34" s="220"/>
      <x:c r="D34" s="220"/>
      <x:c r="E34" s="220"/>
      <x:c r="F34" s="220"/>
      <x:c r="G34" s="220"/>
      <x:c r="H34" s="220"/>
      <x:c r="I34" s="220"/>
    </x:row>
    <x:row r="35">
      <x:c r="A35" s="220"/>
      <x:c r="B35" s="220"/>
      <x:c r="C35" s="220"/>
      <x:c r="D35" s="220"/>
      <x:c r="E35" s="220"/>
      <x:c r="F35" s="220"/>
      <x:c r="G35" s="220"/>
      <x:c r="H35" s="220"/>
      <x:c r="I35" s="220"/>
    </x:row>
    <x:row r="36">
      <x:c r="A36" s="220"/>
      <x:c r="B36" s="220"/>
      <x:c r="C36" s="220"/>
      <x:c r="D36" s="220"/>
      <x:c r="E36" s="220"/>
      <x:c r="F36" s="220"/>
      <x:c r="G36" s="220"/>
      <x:c r="H36" s="220"/>
      <x:c r="I36" s="220"/>
    </x:row>
    <x:row r="37">
      <x:c r="A37" s="220"/>
      <x:c r="B37" s="220"/>
      <x:c r="C37" s="220"/>
      <x:c r="D37" s="220"/>
      <x:c r="E37" s="220"/>
      <x:c r="F37" s="220"/>
      <x:c r="G37" s="220"/>
      <x:c r="H37" s="220"/>
      <x:c r="I37" s="220"/>
    </x:row>
    <x:row r="38">
      <x:c r="A38" s="220"/>
      <x:c r="B38" s="220"/>
      <x:c r="C38" s="220"/>
      <x:c r="D38" s="220"/>
      <x:c r="E38" s="220"/>
      <x:c r="F38" s="220"/>
      <x:c r="G38" s="220"/>
      <x:c r="H38" s="220"/>
      <x:c r="I38" s="220"/>
    </x:row>
    <x:row r="39">
      <x:c r="A39" s="220"/>
      <x:c r="B39" s="220"/>
      <x:c r="C39" s="220"/>
      <x:c r="D39" s="220"/>
      <x:c r="E39" s="220"/>
      <x:c r="F39" s="220"/>
      <x:c r="G39" s="220"/>
      <x:c r="H39" s="220"/>
      <x:c r="I39" s="220"/>
    </x:row>
    <x:row r="40">
      <x:c r="A40" s="220"/>
      <x:c r="B40" s="220"/>
      <x:c r="C40" s="220"/>
      <x:c r="D40" s="220"/>
      <x:c r="E40" s="220"/>
      <x:c r="F40" s="220"/>
      <x:c r="G40" s="220"/>
      <x:c r="H40" s="220"/>
      <x:c r="I40" s="220"/>
    </x:row>
    <x:row r="41">
      <x:c r="A41" s="220"/>
      <x:c r="B41" s="220"/>
      <x:c r="C41" s="220"/>
      <x:c r="D41" s="220"/>
      <x:c r="E41" s="220"/>
      <x:c r="F41" s="220"/>
      <x:c r="G41" s="220"/>
      <x:c r="H41" s="220"/>
      <x:c r="I41" s="220"/>
    </x:row>
    <x:row r="42">
      <x:c r="A42" s="220"/>
      <x:c r="B42" s="220"/>
      <x:c r="C42" s="220"/>
      <x:c r="D42" s="220"/>
      <x:c r="E42" s="220"/>
      <x:c r="F42" s="220"/>
      <x:c r="G42" s="220"/>
      <x:c r="H42" s="220"/>
      <x:c r="I42" s="220"/>
    </x:row>
    <x:row r="43">
      <x:c r="A43" s="220"/>
      <x:c r="B43" s="220"/>
      <x:c r="C43" s="220"/>
      <x:c r="D43" s="220"/>
      <x:c r="E43" s="220"/>
      <x:c r="F43" s="220"/>
      <x:c r="G43" s="220"/>
      <x:c r="H43" s="220"/>
      <x:c r="I43" s="220"/>
    </x:row>
    <x:row r="44">
      <x:c r="A44" s="220"/>
      <x:c r="B44" s="220"/>
      <x:c r="C44" s="220"/>
      <x:c r="D44" s="220"/>
      <x:c r="E44" s="220"/>
      <x:c r="F44" s="220"/>
      <x:c r="G44" s="220"/>
      <x:c r="H44" s="220"/>
      <x:c r="I44" s="220"/>
    </x:row>
    <x:row r="45">
      <x:c r="A45" s="220"/>
      <x:c r="B45" s="220"/>
      <x:c r="C45" s="220"/>
      <x:c r="D45" s="220"/>
      <x:c r="E45" s="220"/>
      <x:c r="F45" s="220"/>
      <x:c r="G45" s="220"/>
      <x:c r="H45" s="220"/>
      <x:c r="I45" s="220"/>
    </x:row>
    <x:row r="46">
      <x:c r="A46" s="220"/>
      <x:c r="B46" s="220"/>
      <x:c r="C46" s="220"/>
      <x:c r="D46" s="220"/>
      <x:c r="E46" s="220"/>
      <x:c r="F46" s="220"/>
      <x:c r="G46" s="220"/>
      <x:c r="H46" s="220"/>
      <x:c r="I46" s="220"/>
    </x:row>
    <x:row r="47">
      <x:c r="A47" s="220"/>
      <x:c r="B47" s="220"/>
      <x:c r="C47" s="220"/>
      <x:c r="D47" s="220"/>
      <x:c r="E47" s="220"/>
      <x:c r="F47" s="220"/>
      <x:c r="G47" s="220"/>
      <x:c r="H47" s="220"/>
      <x:c r="I47" s="220"/>
    </x:row>
    <x:row r="48">
      <x:c r="A48" s="220"/>
      <x:c r="B48" s="220"/>
      <x:c r="C48" s="220"/>
      <x:c r="D48" s="220"/>
      <x:c r="E48" s="220"/>
      <x:c r="F48" s="220"/>
      <x:c r="G48" s="220"/>
      <x:c r="H48" s="220"/>
      <x:c r="I48" s="220"/>
    </x:row>
    <x:row r="49">
      <x:c r="A49" s="220"/>
      <x:c r="B49" s="220"/>
      <x:c r="C49" s="220"/>
      <x:c r="D49" s="220"/>
      <x:c r="E49" s="220"/>
      <x:c r="F49" s="220"/>
      <x:c r="G49" s="220"/>
      <x:c r="H49" s="220"/>
      <x:c r="I49" s="220"/>
    </x:row>
    <x:row r="50">
      <x:c r="A50" s="220"/>
      <x:c r="B50" s="220"/>
      <x:c r="C50" s="220"/>
      <x:c r="D50" s="220"/>
      <x:c r="E50" s="220"/>
      <x:c r="F50" s="220"/>
      <x:c r="G50" s="220"/>
      <x:c r="H50" s="220"/>
      <x:c r="I50" s="220"/>
    </x:row>
    <x:row r="51">
      <x:c r="A51" s="220"/>
      <x:c r="B51" s="220"/>
      <x:c r="C51" s="220"/>
      <x:c r="D51" s="220"/>
      <x:c r="E51" s="220"/>
      <x:c r="F51" s="220"/>
      <x:c r="G51" s="220"/>
      <x:c r="H51" s="220"/>
      <x:c r="I51" s="220"/>
    </x:row>
    <x:row r="52">
      <x:c r="A52" s="220"/>
      <x:c r="B52" s="220"/>
      <x:c r="C52" s="220"/>
      <x:c r="D52" s="220"/>
      <x:c r="E52" s="220"/>
      <x:c r="F52" s="220"/>
      <x:c r="G52" s="220"/>
      <x:c r="H52" s="220"/>
      <x:c r="I52" s="220"/>
    </x:row>
    <x:row r="53">
      <x:c r="A53" s="220"/>
      <x:c r="B53" s="220"/>
      <x:c r="C53" s="220"/>
      <x:c r="D53" s="220"/>
      <x:c r="E53" s="220"/>
      <x:c r="F53" s="220"/>
      <x:c r="G53" s="220"/>
      <x:c r="H53" s="220"/>
      <x:c r="I53" s="220"/>
    </x:row>
    <x:row r="54">
      <x:c r="A54" s="220"/>
      <x:c r="B54" s="220"/>
      <x:c r="C54" s="220"/>
      <x:c r="D54" s="220"/>
      <x:c r="E54" s="220"/>
      <x:c r="F54" s="220"/>
      <x:c r="G54" s="220"/>
      <x:c r="H54" s="220"/>
      <x:c r="I54" s="220"/>
    </x:row>
    <x:row r="55">
      <x:c r="A55" s="220"/>
      <x:c r="B55" s="220"/>
      <x:c r="C55" s="220"/>
      <x:c r="D55" s="220"/>
      <x:c r="E55" s="220"/>
      <x:c r="F55" s="220"/>
      <x:c r="G55" s="220"/>
      <x:c r="H55" s="220"/>
      <x:c r="I55" s="220"/>
    </x:row>
    <x:row r="56">
      <x:c r="A56" s="220"/>
      <x:c r="B56" s="220"/>
      <x:c r="C56" s="220"/>
      <x:c r="D56" s="220"/>
      <x:c r="E56" s="220"/>
      <x:c r="F56" s="220"/>
      <x:c r="G56" s="220"/>
      <x:c r="H56" s="220"/>
      <x:c r="I56" s="220"/>
    </x:row>
    <x:row r="57">
      <x:c r="A57" s="220"/>
      <x:c r="B57" s="220"/>
      <x:c r="C57" s="220"/>
      <x:c r="D57" s="220"/>
      <x:c r="E57" s="220"/>
      <x:c r="F57" s="220"/>
      <x:c r="G57" s="220"/>
      <x:c r="H57" s="220"/>
      <x:c r="I57" s="220"/>
    </x:row>
    <x:row r="58">
      <x:c r="A58" s="220"/>
      <x:c r="B58" s="220"/>
      <x:c r="C58" s="220"/>
      <x:c r="D58" s="220"/>
      <x:c r="E58" s="220"/>
      <x:c r="F58" s="220"/>
      <x:c r="G58" s="220"/>
      <x:c r="H58" s="220"/>
      <x:c r="I58" s="220"/>
    </x:row>
    <x:row r="59">
      <x:c r="A59" s="220"/>
      <x:c r="B59" s="220"/>
      <x:c r="C59" s="220"/>
      <x:c r="D59" s="220"/>
      <x:c r="E59" s="220"/>
      <x:c r="F59" s="220"/>
      <x:c r="G59" s="220"/>
      <x:c r="H59" s="220"/>
      <x:c r="I59" s="220"/>
    </x:row>
    <x:row r="60">
      <x:c r="A60" s="220"/>
      <x:c r="B60" s="220"/>
      <x:c r="C60" s="220"/>
      <x:c r="D60" s="220"/>
      <x:c r="E60" s="220"/>
      <x:c r="F60" s="220"/>
      <x:c r="G60" s="220"/>
      <x:c r="H60" s="220"/>
      <x:c r="I60" s="220"/>
    </x:row>
  </x:sheetData>
  <x:mergeCells>
    <x:mergeCell ref="A1:F1"/>
    <x:mergeCell ref="A11:F11"/>
    <x:mergeCell ref="A19:F19"/>
  </x:mergeCells>
  <x:pageMargins left="0.7" right="0.7" top="0.75" bottom="0.75" header="0.3" footer="0.3"/>
</x:worksheet>
</file>